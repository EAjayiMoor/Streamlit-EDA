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enario Calculations" sheetId="2" state="visible" r:id="rId2"/>
    <sheet xmlns:r="http://schemas.openxmlformats.org/officeDocument/2006/relationships" name="Summary Table" sheetId="3" state="visible" r:id="rId3"/>
    <sheet xmlns:r="http://schemas.openxmlformats.org/officeDocument/2006/relationships" name="Formula Trace" sheetId="4" state="visible" r:id="rId4"/>
  </sheets>
  <definedNames>
    <definedName name="_xlnm._FilterDatabase" localSheetId="0" hidden="1">'Inputs'!$A$1:$D$13</definedName>
    <definedName name="_xlnm._FilterDatabase" localSheetId="1" hidden="1">'Scenario Calculations'!$A$1:$N$9</definedName>
    <definedName name="_xlnm._FilterDatabase" localSheetId="2" hidden="1">'Summary Table'!$A$1:$F$6</definedName>
    <definedName name="_xlnm._FilterDatabase" localSheetId="3" hidden="1">'Formula Trace'!$A$1:$C$11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£#,##0"/>
    <numFmt numFmtId="165" formatCode="£#,##0.00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18" customWidth="1" min="2" max="2"/>
    <col width="16" customWidth="1" min="3" max="3"/>
    <col width="72" customWidth="1" min="4" max="4"/>
  </cols>
  <sheetData>
    <row r="1" ht="24" customHeight="1">
      <c r="A1" s="1" t="inlineStr">
        <is>
          <t>Utilisation Scenario Range Inputs</t>
        </is>
      </c>
      <c r="B1" s="2" t="n"/>
      <c r="C1" s="2" t="n"/>
      <c r="D1" s="2" t="n"/>
    </row>
    <row r="2" ht="24" customHeight="1">
      <c r="A2" s="2" t="n"/>
      <c r="B2" s="2" t="n"/>
      <c r="C2" s="2" t="n"/>
      <c r="D2" s="2" t="n"/>
    </row>
    <row r="3" ht="24" customHeight="1">
      <c r="A3" s="3" t="inlineStr">
        <is>
          <t>Input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Source / note</t>
        </is>
      </c>
    </row>
    <row r="4" ht="44" customHeight="1">
      <c r="A4" s="4" t="inlineStr">
        <is>
          <t>Baseline RTT backlog</t>
        </is>
      </c>
      <c r="B4" s="5" t="n">
        <v>23086</v>
      </c>
      <c r="C4" s="4" t="inlineStr">
        <is>
          <t>pathways</t>
        </is>
      </c>
      <c r="D4" s="4" t="inlineStr">
        <is>
          <t>Total backlog from shared theatre opportunity model</t>
        </is>
      </c>
    </row>
    <row r="5" ht="44" customHeight="1">
      <c r="A5" s="4" t="inlineStr">
        <is>
          <t>Job-plan cases included at 50%</t>
        </is>
      </c>
      <c r="B5" s="5" t="n">
        <v>2729</v>
      </c>
      <c r="C5" s="4" t="inlineStr">
        <is>
          <t>cases</t>
        </is>
      </c>
      <c r="D5" s="4" t="inlineStr">
        <is>
          <t>50% of under-utilised job-plan case opportunity; used in current scenarios</t>
        </is>
      </c>
    </row>
    <row r="6" ht="44" customHeight="1">
      <c r="A6" s="4" t="inlineStr">
        <is>
          <t>Full job-plan case opportunity</t>
        </is>
      </c>
      <c r="B6" s="6">
        <f>B5*2</f>
        <v/>
      </c>
      <c r="C6" s="4" t="inlineStr">
        <is>
          <t>cases</t>
        </is>
      </c>
      <c r="D6" s="4" t="inlineStr">
        <is>
          <t>100% under-utilised job-plan opportunity</t>
        </is>
      </c>
    </row>
    <row r="7" ht="44" customHeight="1">
      <c r="A7" s="4" t="inlineStr">
        <is>
          <t>Scenario 1 current extra cases</t>
        </is>
      </c>
      <c r="B7" s="7" t="n">
        <v>4700</v>
      </c>
      <c r="C7" s="4" t="inlineStr">
        <is>
          <t>cases</t>
        </is>
      </c>
      <c r="D7" s="4" t="inlineStr">
        <is>
          <t>82% utilisation + 20% HVLC + 50% job-plan case assumption</t>
        </is>
      </c>
    </row>
    <row r="8" ht="44" customHeight="1">
      <c r="A8" s="4" t="inlineStr">
        <is>
          <t>Scenario 1 current financial efficiency</t>
        </is>
      </c>
      <c r="B8" s="5" t="n">
        <v>957399.03</v>
      </c>
      <c r="C8" s="4" t="inlineStr">
        <is>
          <t>GBP</t>
        </is>
      </c>
      <c r="D8" s="4" t="inlineStr">
        <is>
          <t>Current model financial impact at Scenario 1</t>
        </is>
      </c>
    </row>
    <row r="9" ht="44" customHeight="1">
      <c r="A9" s="4" t="inlineStr">
        <is>
          <t>Scenario 2 current extra cases</t>
        </is>
      </c>
      <c r="B9" s="7" t="n">
        <v>5539</v>
      </c>
      <c r="C9" s="4" t="inlineStr">
        <is>
          <t>cases</t>
        </is>
      </c>
      <c r="D9" s="4" t="inlineStr">
        <is>
          <t>85% utilisation + 30% HVLC + 50% job-plan case assumption</t>
        </is>
      </c>
    </row>
    <row r="10" ht="44" customHeight="1">
      <c r="A10" s="4" t="inlineStr">
        <is>
          <t>Scenario 2 current financial efficiency</t>
        </is>
      </c>
      <c r="B10" s="5" t="n">
        <v>1117353.45</v>
      </c>
      <c r="C10" s="4" t="inlineStr">
        <is>
          <t>GBP</t>
        </is>
      </c>
      <c r="D10" s="4" t="inlineStr">
        <is>
          <t>Current model financial impact at Scenario 2</t>
        </is>
      </c>
    </row>
    <row r="11" ht="44" customHeight="1">
      <c r="A11" s="4" t="inlineStr">
        <is>
          <t>Income basis extra cases</t>
        </is>
      </c>
      <c r="B11" s="5" t="n">
        <v>5539</v>
      </c>
      <c r="C11" s="4" t="inlineStr">
        <is>
          <t>cases</t>
        </is>
      </c>
      <c r="D11" s="4" t="inlineStr">
        <is>
          <t>Uses current Scenario 2 extra-case volume as income-value basis</t>
        </is>
      </c>
    </row>
    <row r="12" ht="44" customHeight="1">
      <c r="A12" s="4" t="inlineStr">
        <is>
          <t>Income value</t>
        </is>
      </c>
      <c r="B12" s="7" t="n">
        <v>577787</v>
      </c>
      <c r="C12" s="4" t="inlineStr">
        <is>
          <t>GBP</t>
        </is>
      </c>
      <c r="D12" s="4" t="inlineStr">
        <is>
          <t>Extra-case income value from shared table</t>
        </is>
      </c>
    </row>
    <row r="13" ht="44" customHeight="1">
      <c r="A13" s="4" t="inlineStr">
        <is>
          <t>Income per case</t>
        </is>
      </c>
      <c r="B13" s="8">
        <f>B12/B11</f>
        <v/>
      </c>
      <c r="C13" s="4" t="inlineStr">
        <is>
          <t>GBP/case</t>
        </is>
      </c>
      <c r="D13" s="4" t="inlineStr">
        <is>
          <t>Formula: income value / income basis extra cases</t>
        </is>
      </c>
    </row>
  </sheetData>
  <autoFilter ref="A1: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4" customWidth="1" min="2" max="2"/>
    <col width="28" customWidth="1" min="3" max="3"/>
    <col width="18" customWidth="1" min="4" max="4"/>
    <col width="18" customWidth="1" min="5" max="5"/>
    <col width="16" customWidth="1" min="6" max="6"/>
    <col width="18" customWidth="1" min="7" max="7"/>
    <col width="24" customWidth="1" min="8" max="8"/>
    <col width="18" customWidth="1" min="9" max="9"/>
    <col width="18" customWidth="1" min="10" max="10"/>
    <col width="18" customWidth="1" min="11" max="11"/>
    <col width="16" customWidth="1" min="12" max="12"/>
    <col width="18" customWidth="1" min="13" max="13"/>
    <col width="80" customWidth="1" min="14" max="14"/>
  </cols>
  <sheetData>
    <row r="1" ht="24" customHeight="1">
      <c r="A1" s="1" t="inlineStr">
        <is>
          <t>Scenario Calculations - Low to High Job-Plan Ranges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4" customHeight="1">
      <c r="A3" s="3" t="inlineStr">
        <is>
          <t>Scenario</t>
        </is>
      </c>
      <c r="B3" s="3" t="inlineStr">
        <is>
          <t>Variant</t>
        </is>
      </c>
      <c r="C3" s="3" t="inlineStr">
        <is>
          <t>Job-plan assumption</t>
        </is>
      </c>
      <c r="D3" s="3" t="inlineStr">
        <is>
          <t>Base current extra cases</t>
        </is>
      </c>
      <c r="E3" s="3" t="inlineStr">
        <is>
          <t>Job-plan adjustment</t>
        </is>
      </c>
      <c r="F3" s="3" t="inlineStr">
        <is>
          <t>Extra cases</t>
        </is>
      </c>
      <c r="G3" s="3" t="inlineStr">
        <is>
          <t>Financial per case</t>
        </is>
      </c>
      <c r="H3" s="3" t="inlineStr">
        <is>
          <t>Financial efficiency opportunity</t>
        </is>
      </c>
      <c r="I3" s="3" t="inlineStr">
        <is>
          <t>Baseline backlog</t>
        </is>
      </c>
      <c r="J3" s="3" t="inlineStr">
        <is>
          <t>Remaining backlog</t>
        </is>
      </c>
      <c r="K3" s="3" t="inlineStr">
        <is>
          <t>Waiting-list reduction %</t>
        </is>
      </c>
      <c r="L3" s="3" t="inlineStr">
        <is>
          <t>Income per case</t>
        </is>
      </c>
      <c r="M3" s="3" t="inlineStr">
        <is>
          <t>Income potential</t>
        </is>
      </c>
      <c r="N3" s="3" t="inlineStr">
        <is>
          <t>Calculation justification</t>
        </is>
      </c>
    </row>
    <row r="4" ht="44" customHeight="1">
      <c r="A4" s="4" t="inlineStr">
        <is>
          <t>Scenario 1: 82% utilisation + 20% HVLC</t>
        </is>
      </c>
      <c r="B4" s="4" t="inlineStr">
        <is>
          <t>Low</t>
        </is>
      </c>
      <c r="C4" s="9" t="inlineStr">
        <is>
          <t>Job-plan removed</t>
        </is>
      </c>
      <c r="D4" s="6">
        <f>Inputs!B6</f>
        <v/>
      </c>
      <c r="E4" s="6">
        <f>-Inputs!B5</f>
        <v/>
      </c>
      <c r="F4" s="6">
        <f>D4+E4</f>
        <v/>
      </c>
      <c r="G4" s="10">
        <f>Inputs!B7/Inputs!B6</f>
        <v/>
      </c>
      <c r="H4" s="10">
        <f>F4*G4</f>
        <v/>
      </c>
      <c r="I4" s="6">
        <f>Inputs!B4</f>
        <v/>
      </c>
      <c r="J4" s="6">
        <f>I4-F4</f>
        <v/>
      </c>
      <c r="K4" s="11">
        <f>F4/I4</f>
        <v/>
      </c>
      <c r="L4" s="10">
        <f>Inputs!B13</f>
        <v/>
      </c>
      <c r="M4" s="10">
        <f>F4*L4</f>
        <v/>
      </c>
      <c r="N4" s="9" t="inlineStr">
        <is>
          <t>Extra cases = current scenario cases +/- 50% job-plan cases. Financial = extra cases x financial/current-case rate. Waiting-list % = extra cases / baseline backlog. Income = extra cases x income/case.</t>
        </is>
      </c>
    </row>
    <row r="5" ht="44" customHeight="1">
      <c r="A5" s="4" t="inlineStr">
        <is>
          <t>Scenario 1: 82% utilisation + 20% HVLC</t>
        </is>
      </c>
      <c r="B5" s="4" t="inlineStr">
        <is>
          <t>Current</t>
        </is>
      </c>
      <c r="C5" s="9" t="inlineStr">
        <is>
          <t>50% job-plan delivered</t>
        </is>
      </c>
      <c r="D5" s="6">
        <f>Inputs!B6</f>
        <v/>
      </c>
      <c r="E5" s="6">
        <f>0</f>
        <v/>
      </c>
      <c r="F5" s="6">
        <f>D5+E5</f>
        <v/>
      </c>
      <c r="G5" s="10">
        <f>Inputs!B7/Inputs!B6</f>
        <v/>
      </c>
      <c r="H5" s="10">
        <f>F5*G5</f>
        <v/>
      </c>
      <c r="I5" s="6">
        <f>Inputs!B4</f>
        <v/>
      </c>
      <c r="J5" s="6">
        <f>I5-F5</f>
        <v/>
      </c>
      <c r="K5" s="11">
        <f>F5/I5</f>
        <v/>
      </c>
      <c r="L5" s="10">
        <f>Inputs!B13</f>
        <v/>
      </c>
      <c r="M5" s="10">
        <f>F5*L5</f>
        <v/>
      </c>
      <c r="N5" s="9" t="inlineStr">
        <is>
          <t>Extra cases = current scenario cases +/- 50% job-plan cases. Financial = extra cases x financial/current-case rate. Waiting-list % = extra cases / baseline backlog. Income = extra cases x income/case.</t>
        </is>
      </c>
    </row>
    <row r="6" ht="44" customHeight="1">
      <c r="A6" s="4" t="inlineStr">
        <is>
          <t>Scenario 1: 82% utilisation + 20% HVLC</t>
        </is>
      </c>
      <c r="B6" s="4" t="inlineStr">
        <is>
          <t>High</t>
        </is>
      </c>
      <c r="C6" s="9" t="inlineStr">
        <is>
          <t>All job-plan sessions delivered</t>
        </is>
      </c>
      <c r="D6" s="6">
        <f>Inputs!B6</f>
        <v/>
      </c>
      <c r="E6" s="6">
        <f>Inputs!B5</f>
        <v/>
      </c>
      <c r="F6" s="6">
        <f>D6+E6</f>
        <v/>
      </c>
      <c r="G6" s="10">
        <f>Inputs!B7/Inputs!B6</f>
        <v/>
      </c>
      <c r="H6" s="10">
        <f>F6*G6</f>
        <v/>
      </c>
      <c r="I6" s="6">
        <f>Inputs!B4</f>
        <v/>
      </c>
      <c r="J6" s="6">
        <f>I6-F6</f>
        <v/>
      </c>
      <c r="K6" s="11">
        <f>F6/I6</f>
        <v/>
      </c>
      <c r="L6" s="10">
        <f>Inputs!B13</f>
        <v/>
      </c>
      <c r="M6" s="10">
        <f>F6*L6</f>
        <v/>
      </c>
      <c r="N6" s="9" t="inlineStr">
        <is>
          <t>Extra cases = current scenario cases +/- 50% job-plan cases. Financial = extra cases x financial/current-case rate. Waiting-list % = extra cases / baseline backlog. Income = extra cases x income/case.</t>
        </is>
      </c>
    </row>
    <row r="7" ht="44" customHeight="1">
      <c r="A7" s="4" t="inlineStr">
        <is>
          <t>Scenario 2: 85% utilisation + 30% HVLC</t>
        </is>
      </c>
      <c r="B7" s="4" t="inlineStr">
        <is>
          <t>Low</t>
        </is>
      </c>
      <c r="C7" s="9" t="inlineStr">
        <is>
          <t>Job-plan removed</t>
        </is>
      </c>
      <c r="D7" s="6">
        <f>Inputs!B8</f>
        <v/>
      </c>
      <c r="E7" s="6">
        <f>-Inputs!B5</f>
        <v/>
      </c>
      <c r="F7" s="6">
        <f>D7+E7</f>
        <v/>
      </c>
      <c r="G7" s="10">
        <f>Inputs!B9/Inputs!B8</f>
        <v/>
      </c>
      <c r="H7" s="10">
        <f>F7*G7</f>
        <v/>
      </c>
      <c r="I7" s="6">
        <f>Inputs!B4</f>
        <v/>
      </c>
      <c r="J7" s="6">
        <f>I7-F7</f>
        <v/>
      </c>
      <c r="K7" s="11">
        <f>F7/I7</f>
        <v/>
      </c>
      <c r="L7" s="10">
        <f>Inputs!B13</f>
        <v/>
      </c>
      <c r="M7" s="10">
        <f>F7*L7</f>
        <v/>
      </c>
      <c r="N7" s="9" t="inlineStr">
        <is>
          <t>Extra cases = current scenario cases +/- 50% job-plan cases. Financial = extra cases x financial/current-case rate. Waiting-list % = extra cases / baseline backlog. Income = extra cases x income/case.</t>
        </is>
      </c>
    </row>
    <row r="8" ht="44" customHeight="1">
      <c r="A8" s="4" t="inlineStr">
        <is>
          <t>Scenario 2: 85% utilisation + 30% HVLC</t>
        </is>
      </c>
      <c r="B8" s="4" t="inlineStr">
        <is>
          <t>Current</t>
        </is>
      </c>
      <c r="C8" s="9" t="inlineStr">
        <is>
          <t>50% job-plan delivered</t>
        </is>
      </c>
      <c r="D8" s="6">
        <f>Inputs!B8</f>
        <v/>
      </c>
      <c r="E8" s="6">
        <f>0</f>
        <v/>
      </c>
      <c r="F8" s="6">
        <f>D8+E8</f>
        <v/>
      </c>
      <c r="G8" s="10">
        <f>Inputs!B9/Inputs!B8</f>
        <v/>
      </c>
      <c r="H8" s="10">
        <f>F8*G8</f>
        <v/>
      </c>
      <c r="I8" s="6">
        <f>Inputs!B4</f>
        <v/>
      </c>
      <c r="J8" s="6">
        <f>I8-F8</f>
        <v/>
      </c>
      <c r="K8" s="11">
        <f>F8/I8</f>
        <v/>
      </c>
      <c r="L8" s="10">
        <f>Inputs!B13</f>
        <v/>
      </c>
      <c r="M8" s="10">
        <f>F8*L8</f>
        <v/>
      </c>
      <c r="N8" s="9" t="inlineStr">
        <is>
          <t>Extra cases = current scenario cases +/- 50% job-plan cases. Financial = extra cases x financial/current-case rate. Waiting-list % = extra cases / baseline backlog. Income = extra cases x income/case.</t>
        </is>
      </c>
    </row>
    <row r="9" ht="44" customHeight="1">
      <c r="A9" s="4" t="inlineStr">
        <is>
          <t>Scenario 2: 85% utilisation + 30% HVLC</t>
        </is>
      </c>
      <c r="B9" s="4" t="inlineStr">
        <is>
          <t>High</t>
        </is>
      </c>
      <c r="C9" s="9" t="inlineStr">
        <is>
          <t>All job-plan sessions delivered</t>
        </is>
      </c>
      <c r="D9" s="6">
        <f>Inputs!B8</f>
        <v/>
      </c>
      <c r="E9" s="6">
        <f>Inputs!B5</f>
        <v/>
      </c>
      <c r="F9" s="6">
        <f>D9+E9</f>
        <v/>
      </c>
      <c r="G9" s="10">
        <f>Inputs!B9/Inputs!B8</f>
        <v/>
      </c>
      <c r="H9" s="10">
        <f>F9*G9</f>
        <v/>
      </c>
      <c r="I9" s="6">
        <f>Inputs!B4</f>
        <v/>
      </c>
      <c r="J9" s="6">
        <f>I9-F9</f>
        <v/>
      </c>
      <c r="K9" s="11">
        <f>F9/I9</f>
        <v/>
      </c>
      <c r="L9" s="10">
        <f>Inputs!B13</f>
        <v/>
      </c>
      <c r="M9" s="10">
        <f>F9*L9</f>
        <v/>
      </c>
      <c r="N9" s="9" t="inlineStr">
        <is>
          <t>Extra cases = current scenario cases +/- 50% job-plan cases. Financial = extra cases x financial/current-case rate. Waiting-list % = extra cases / baseline backlog. Income = extra cases x income/case.</t>
        </is>
      </c>
    </row>
  </sheetData>
  <autoFilter ref="A1:N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32" customWidth="1" min="2" max="2"/>
    <col width="36" customWidth="1" min="3" max="3"/>
    <col width="48" customWidth="1" min="4" max="4"/>
    <col width="30" customWidth="1" min="5" max="5"/>
    <col width="62" customWidth="1" min="6" max="6"/>
  </cols>
  <sheetData>
    <row r="1" ht="24" customHeight="1">
      <c r="A1" s="1" t="inlineStr">
        <is>
          <t>Table-Ready Scenario Ranges</t>
        </is>
      </c>
      <c r="B1" s="2" t="n"/>
      <c r="C1" s="2" t="n"/>
      <c r="D1" s="2" t="n"/>
      <c r="E1" s="2" t="n"/>
      <c r="F1" s="2" t="n"/>
    </row>
    <row r="2" ht="24" customHeight="1">
      <c r="A2" s="12" t="inlineStr">
        <is>
          <t>Green cells are live formulas linked to Scenario Calculations.</t>
        </is>
      </c>
      <c r="B2" s="2" t="n"/>
      <c r="C2" s="2" t="n"/>
      <c r="D2" s="2" t="n"/>
      <c r="E2" s="2" t="n"/>
      <c r="F2" s="2" t="n"/>
    </row>
    <row r="3" ht="24" customHeight="1">
      <c r="A3" s="2" t="n"/>
      <c r="B3" s="2" t="n"/>
      <c r="C3" s="2" t="n"/>
      <c r="D3" s="2" t="n"/>
      <c r="E3" s="2" t="n"/>
      <c r="F3" s="2" t="n"/>
    </row>
    <row r="4" ht="44" customHeight="1">
      <c r="A4" s="3" t="inlineStr">
        <is>
          <t>Scenario</t>
        </is>
      </c>
      <c r="B4" s="3" t="inlineStr">
        <is>
          <t>Low to High Case Range</t>
        </is>
      </c>
      <c r="C4" s="3" t="inlineStr">
        <is>
          <t>Financial Efficiency Opportunity Range</t>
        </is>
      </c>
      <c r="D4" s="3" t="inlineStr">
        <is>
          <t>Waiting List Impact</t>
        </is>
      </c>
      <c r="E4" s="3" t="inlineStr">
        <is>
          <t>Income Potential</t>
        </is>
      </c>
      <c r="F4" s="3" t="inlineStr">
        <is>
          <t>Scenario Notes</t>
        </is>
      </c>
    </row>
    <row r="5" ht="44" customHeight="1">
      <c r="A5" s="4" t="inlineStr">
        <is>
          <t>Scenario 1: 82% utilisation + 20% HVLC</t>
        </is>
      </c>
      <c r="B5" s="13">
        <f>"Low "&amp;TEXT('Scenario Calculations'!F4,"#,##0")&amp;" cases; current "&amp;TEXT('Scenario Calculations'!F5,"#,##0")&amp;"; high "&amp;TEXT('Scenario Calculations'!F6,"#,##0")</f>
        <v/>
      </c>
      <c r="C5" s="13">
        <f>TEXT('Scenario Calculations'!H4,"£#,##0")&amp;" - "&amp;TEXT('Scenario Calculations'!H6,"£#,##0")</f>
        <v/>
      </c>
      <c r="D5" s="13">
        <f>"Reduces backlog from "&amp;TEXT('Scenario Calculations'!I4,"#,##0")&amp;" to "&amp;TEXT('Scenario Calculations'!J6,"#,##0")&amp;"-"&amp;TEXT('Scenario Calculations'!J4,"#,##0")&amp;"; reduction "&amp;TEXT('Scenario Calculations'!K4,"0.0%")&amp;"-"&amp;TEXT('Scenario Calculations'!K6,"0.0%")</f>
        <v/>
      </c>
      <c r="E5" s="13">
        <f>TEXT('Scenario Calculations'!M4,"£#,##0")&amp;" - "&amp;TEXT('Scenario Calculations'!M6,"£#,##0")</f>
        <v/>
      </c>
      <c r="F5" s="9" t="inlineStr">
        <is>
          <t>Low removes the 50% job-plan assumption; current includes 50%; high assumes all under-utilised job-plan sessions are delivered.</t>
        </is>
      </c>
    </row>
    <row r="6" ht="44" customHeight="1">
      <c r="A6" s="4" t="inlineStr">
        <is>
          <t>Scenario 2: 85% utilisation + 30% HVLC</t>
        </is>
      </c>
      <c r="B6" s="13">
        <f>"Low "&amp;TEXT('Scenario Calculations'!F7,"#,##0")&amp;" cases; current "&amp;TEXT('Scenario Calculations'!F8,"#,##0")&amp;"; high "&amp;TEXT('Scenario Calculations'!F9,"#,##0")</f>
        <v/>
      </c>
      <c r="C6" s="13">
        <f>TEXT('Scenario Calculations'!H7,"£#,##0")&amp;" - "&amp;TEXT('Scenario Calculations'!H9,"£#,##0")</f>
        <v/>
      </c>
      <c r="D6" s="13">
        <f>"Reduces backlog from "&amp;TEXT('Scenario Calculations'!I7,"#,##0")&amp;" to "&amp;TEXT('Scenario Calculations'!J9,"#,##0")&amp;"-"&amp;TEXT('Scenario Calculations'!J7,"#,##0")&amp;"; reduction "&amp;TEXT('Scenario Calculations'!K7,"0.0%")&amp;"-"&amp;TEXT('Scenario Calculations'!K9,"0.0%")</f>
        <v/>
      </c>
      <c r="E6" s="13">
        <f>TEXT('Scenario Calculations'!M7,"£#,##0")&amp;" - "&amp;TEXT('Scenario Calculations'!M9,"£#,##0")</f>
        <v/>
      </c>
      <c r="F6" s="9" t="inlineStr">
        <is>
          <t>Low removes the 50% job-plan assumption; current includes 50%; high assumes all under-utilised job-plan sessions are delivered.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58" customWidth="1" min="2" max="2"/>
    <col width="80" customWidth="1" min="3" max="3"/>
  </cols>
  <sheetData>
    <row r="1" ht="24" customHeight="1">
      <c r="A1" s="1" t="inlineStr">
        <is>
          <t>Formula Trace</t>
        </is>
      </c>
      <c r="B1" s="2" t="n"/>
      <c r="C1" s="2" t="n"/>
    </row>
    <row r="2" ht="24" customHeight="1">
      <c r="A2" s="2" t="n"/>
      <c r="B2" s="2" t="n"/>
      <c r="C2" s="2" t="n"/>
    </row>
    <row r="3" ht="24" customHeight="1">
      <c r="A3" s="3" t="inlineStr">
        <is>
          <t>Metric</t>
        </is>
      </c>
      <c r="B3" s="3" t="inlineStr">
        <is>
          <t>Formula</t>
        </is>
      </c>
      <c r="C3" s="3" t="inlineStr">
        <is>
          <t>Explanation</t>
        </is>
      </c>
    </row>
    <row r="4" ht="44" customHeight="1">
      <c r="A4" s="4" t="inlineStr">
        <is>
          <t>Low extra cases</t>
        </is>
      </c>
      <c r="B4" s="13">
        <f>Current scenario extra cases - 50% job-plan cases</f>
        <v/>
      </c>
      <c r="C4" s="4" t="inlineStr">
        <is>
          <t>Removes the job-plan delivery assumption from the current scenario.</t>
        </is>
      </c>
    </row>
    <row r="5" ht="44" customHeight="1">
      <c r="A5" s="4" t="inlineStr">
        <is>
          <t>Current extra cases</t>
        </is>
      </c>
      <c r="B5" s="13">
        <f>Current scenario extra cases</f>
        <v/>
      </c>
      <c r="C5" s="4" t="inlineStr">
        <is>
          <t>Uses the case number already in the current model.</t>
        </is>
      </c>
    </row>
    <row r="6" ht="44" customHeight="1">
      <c r="A6" s="4" t="inlineStr">
        <is>
          <t>High extra cases</t>
        </is>
      </c>
      <c r="B6" s="13">
        <f>Current scenario extra cases + 50% job-plan cases</f>
        <v/>
      </c>
      <c r="C6" s="4" t="inlineStr">
        <is>
          <t>Adds the remaining 50% so all under-utilised job-plan sessions are delivered.</t>
        </is>
      </c>
    </row>
    <row r="7" ht="44" customHeight="1">
      <c r="A7" s="4" t="inlineStr">
        <is>
          <t>Financial efficiency opportunity</t>
        </is>
      </c>
      <c r="B7" s="13">
        <f>Extra cases x (current scenario financial impact / current scenario extra cases)</f>
        <v/>
      </c>
      <c r="C7" s="4" t="inlineStr">
        <is>
          <t>Scales the modelled WLI reduction opportunity by case volume.</t>
        </is>
      </c>
    </row>
    <row r="8" ht="44" customHeight="1">
      <c r="A8" s="4" t="inlineStr">
        <is>
          <t>Remaining backlog</t>
        </is>
      </c>
      <c r="B8" s="13">
        <f>Baseline RTT backlog - extra cases</f>
        <v/>
      </c>
      <c r="C8" s="4" t="inlineStr">
        <is>
          <t>Assumes each additional case removes one waiting-list pathway.</t>
        </is>
      </c>
    </row>
    <row r="9" ht="44" customHeight="1">
      <c r="A9" s="4" t="inlineStr">
        <is>
          <t>Waiting-list reduction %</t>
        </is>
      </c>
      <c r="B9" s="13">
        <f>Extra cases / baseline RTT backlog</f>
        <v/>
      </c>
      <c r="C9" s="4" t="inlineStr">
        <is>
          <t>Shows the proportion of the opening backlog addressed.</t>
        </is>
      </c>
    </row>
    <row r="10" ht="44" customHeight="1">
      <c r="A10" s="4" t="inlineStr">
        <is>
          <t>Income potential</t>
        </is>
      </c>
      <c r="B10" s="13">
        <f>Extra cases x (income value / income basis extra cases)</f>
        <v/>
      </c>
      <c r="C10" s="4" t="inlineStr">
        <is>
          <t>Uses the shared table income value as the income-per-case basis.</t>
        </is>
      </c>
    </row>
    <row r="11" ht="44" customHeight="1">
      <c r="A11" s="4" t="inlineStr">
        <is>
          <t>Caveat</t>
        </is>
      </c>
      <c r="B11" s="9" t="inlineStr">
        <is>
          <t>Finance should confirm</t>
        </is>
      </c>
      <c r="C11" s="4" t="inlineStr">
        <is>
          <t>Financial efficiency is a WLI/cost-avoidance proxy; income potential is a separate gross income lens and should not be added without Finance confirmation.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2026-06-05T15:17:34Z</dcterms:created>
  <dcterms:modified xmlns:dcterms="http://purl.org/dc/terms/" xmlns:xsi="http://www.w3.org/2001/XMLSchema-instance" xsi:type="dcterms:W3CDTF">2026-06-05T15:17:34Z</dcterms:modified>
</cp:coreProperties>
</file>