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Util Job Plans" sheetId="3" state="visible" r:id="rId3"/>
    <sheet xmlns:r="http://schemas.openxmlformats.org/officeDocument/2006/relationships" name="Day Case" sheetId="4" state="visible" r:id="rId4"/>
    <sheet xmlns:r="http://schemas.openxmlformats.org/officeDocument/2006/relationships" name="HVLC" sheetId="5" state="visible" r:id="rId5"/>
    <sheet xmlns:r="http://schemas.openxmlformats.org/officeDocument/2006/relationships" name="Estate Utilisation" sheetId="6" state="visible" r:id="rId6"/>
    <sheet xmlns:r="http://schemas.openxmlformats.org/officeDocument/2006/relationships" name="Formula Trace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GBP #,##0"/>
    <numFmt numFmtId="165" formatCode="0.0%"/>
    <numFmt numFmtId="166" formatCode="#,##0.0"/>
  </numFmts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75" customWidth="1" min="3" max="3"/>
    <col width="75" customWidth="1" min="4" max="4"/>
    <col width="12" customWidth="1" min="5" max="5"/>
    <col width="38" customWidth="1" min="6" max="6"/>
    <col width="39" customWidth="1" min="7" max="7"/>
    <col width="27" customWidth="1" min="8" max="8"/>
    <col width="27" customWidth="1" min="9" max="9"/>
    <col width="27" customWidth="1" min="10" max="10"/>
    <col width="27" customWidth="1" min="11" max="11"/>
    <col width="52" customWidth="1" min="12" max="12"/>
  </cols>
  <sheetData>
    <row r="1">
      <c r="A1" s="1" t="inlineStr">
        <is>
          <t>Financial and Backlog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Formulas are retained in the workbook so the logic can be traced and updated.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4" t="inlineStr">
        <is>
          <t>Initiative</t>
        </is>
      </c>
      <c r="B3" s="4" t="inlineStr">
        <is>
          <t>Baseline</t>
        </is>
      </c>
      <c r="C3" s="4" t="inlineStr">
        <is>
          <t>What if</t>
        </is>
      </c>
      <c r="D3" s="4" t="inlineStr">
        <is>
          <t>Metric</t>
        </is>
      </c>
      <c r="E3" s="4" t="inlineStr">
        <is>
          <t>Backlog</t>
        </is>
      </c>
      <c r="F3" s="4" t="inlineStr">
        <is>
          <t>Financial Efficiency Opportunity Low</t>
        </is>
      </c>
      <c r="G3" s="4" t="inlineStr">
        <is>
          <t>Financial Efficiency Opportunity High</t>
        </is>
      </c>
      <c r="H3" s="4" t="inlineStr">
        <is>
          <t>Waiting List Impact Low</t>
        </is>
      </c>
      <c r="I3" s="4" t="inlineStr">
        <is>
          <t>Waiting List Impact High</t>
        </is>
      </c>
      <c r="J3" s="4" t="inlineStr">
        <is>
          <t>Income Potential Low</t>
        </is>
      </c>
      <c r="K3" s="4" t="inlineStr">
        <is>
          <t>Income Potential High</t>
        </is>
      </c>
      <c r="L3" s="4" t="inlineStr">
        <is>
          <t>Evidence / notes</t>
        </is>
      </c>
    </row>
    <row r="4">
      <c r="A4" s="2" t="inlineStr">
        <is>
          <t>Utilisation and Scheduling - no job-planned sessions</t>
        </is>
      </c>
      <c r="B4" s="2" t="inlineStr">
        <is>
          <t>82%-85% utilisation range with 50% job-plan component in original table</t>
        </is>
      </c>
      <c r="C4" s="2" t="inlineStr">
        <is>
          <t>Remove job-planned session cases from the range</t>
        </is>
      </c>
      <c r="D4" s="5">
        <f>TEXT('Util Job Plans'!B11,"#,##0")&amp;" - "&amp;TEXT('Util Job Plans'!B12,"#,##0")&amp;" cases"</f>
        <v/>
      </c>
      <c r="E4" s="6">
        <f>Inputs!B4</f>
        <v/>
      </c>
      <c r="F4" s="14">
        <f>'Util Job Plans'!B15</f>
        <v/>
      </c>
      <c r="G4" s="14">
        <f>'Util Job Plans'!B16</f>
        <v/>
      </c>
      <c r="H4" s="6">
        <f>'Util Job Plans'!B20</f>
        <v/>
      </c>
      <c r="I4" s="6">
        <f>'Util Job Plans'!B21</f>
        <v/>
      </c>
      <c r="J4" s="14">
        <f>'Util Job Plans'!B29</f>
        <v/>
      </c>
      <c r="K4" s="14">
        <f>'Util Job Plans'!B30</f>
        <v/>
      </c>
      <c r="L4" s="2" t="inlineStr">
        <is>
          <t>Uses 82%-85% utilisation range and removes the 2,729 case 50% job-plan component.</t>
        </is>
      </c>
    </row>
    <row r="5">
      <c r="A5" s="2" t="inlineStr">
        <is>
          <t>Utilisation and Scheduling - all job-planned sessions delivered</t>
        </is>
      </c>
      <c r="B5" s="2" t="inlineStr">
        <is>
          <t>82%-85% utilisation range with 50% job-plan component in original table</t>
        </is>
      </c>
      <c r="C5" s="2" t="inlineStr">
        <is>
          <t>Add the remaining 50% job-planned session cases</t>
        </is>
      </c>
      <c r="D5" s="5">
        <f>TEXT('Util Job Plans'!B13,"#,##0")&amp;" - "&amp;TEXT('Util Job Plans'!B14,"#,##0")&amp;" cases"</f>
        <v/>
      </c>
      <c r="E5" s="6">
        <f>Inputs!B4</f>
        <v/>
      </c>
      <c r="F5" s="14">
        <f>'Util Job Plans'!B17</f>
        <v/>
      </c>
      <c r="G5" s="14">
        <f>'Util Job Plans'!B18</f>
        <v/>
      </c>
      <c r="H5" s="6">
        <f>'Util Job Plans'!B22</f>
        <v/>
      </c>
      <c r="I5" s="6">
        <f>'Util Job Plans'!B23</f>
        <v/>
      </c>
      <c r="J5" s="14">
        <f>'Util Job Plans'!B31</f>
        <v/>
      </c>
      <c r="K5" s="14">
        <f>'Util Job Plans'!B32</f>
        <v/>
      </c>
      <c r="L5" s="2" t="inlineStr">
        <is>
          <t>Uses 82%-85% utilisation range and adds 2,729 cases to move from 50% to all job-planned sessions delivered.</t>
        </is>
      </c>
    </row>
    <row r="6">
      <c r="A6" s="2" t="inlineStr">
        <is>
          <t>Day Case Improvement</t>
        </is>
      </c>
      <c r="B6" s="2" t="inlineStr">
        <is>
          <t>Current day-case rate 67.9% on example eligible cohort</t>
        </is>
      </c>
      <c r="C6" s="2" t="inlineStr">
        <is>
          <t>Move to national median 85.7%</t>
        </is>
      </c>
      <c r="D6" s="5">
        <f>TEXT('Day Case'!B10,"#,##0")&amp;" converted cases"</f>
        <v/>
      </c>
      <c r="E6" s="6">
        <f>Inputs!B4</f>
        <v/>
      </c>
      <c r="F6" s="14">
        <f>'Day Case'!B14</f>
        <v/>
      </c>
      <c r="G6" s="14">
        <f>'Day Case'!B15</f>
        <v/>
      </c>
      <c r="H6" s="6">
        <f>'Day Case'!B17</f>
        <v/>
      </c>
      <c r="I6" s="6">
        <f>'Day Case'!B18</f>
        <v/>
      </c>
      <c r="J6" s="14">
        <f>'Day Case'!B22</f>
        <v/>
      </c>
      <c r="K6" s="14">
        <f>'Day Case'!B23</f>
        <v/>
      </c>
      <c r="L6" s="2" t="inlineStr">
        <is>
          <t>Financial range is avoided bed-day cost. Waiting-list high assumes released bed capacity is fully reinvested into RTT activity.</t>
        </is>
      </c>
    </row>
    <row r="7">
      <c r="A7" s="2" t="inlineStr">
        <is>
          <t>HVLC On-Site Lists</t>
        </is>
      </c>
      <c r="B7" s="2" t="inlineStr">
        <is>
          <t>HVLC cases mixed into general lists; no dedicated ring-fenced sessions</t>
        </is>
      </c>
      <c r="C7" s="2" t="inlineStr">
        <is>
          <t>Dedicated HVLC lists across T&amp;O, Ophthalmology, ENT and General Surgery</t>
        </is>
      </c>
      <c r="D7" s="5">
        <f>TEXT(HVLC!B4,"#,##0")&amp;" - "&amp;TEXT(HVLC!B5,"#,##0")&amp;" additional cases/year"</f>
        <v/>
      </c>
      <c r="E7" s="6">
        <f>Inputs!B4</f>
        <v/>
      </c>
      <c r="F7" s="14">
        <f>HVLC!B11</f>
        <v/>
      </c>
      <c r="G7" s="14">
        <f>HVLC!B12</f>
        <v/>
      </c>
      <c r="H7" s="6">
        <f>HVLC!B14</f>
        <v/>
      </c>
      <c r="I7" s="6">
        <f>HVLC!B15</f>
        <v/>
      </c>
      <c r="J7" s="14">
        <f>HVLC!B21</f>
        <v/>
      </c>
      <c r="K7" s="14">
        <f>HVLC!B22</f>
        <v/>
      </c>
      <c r="L7" s="2" t="inlineStr">
        <is>
          <t>Financial columns show net after GBP 18k setup cost. Gross benefit is shown on the HVLC tab.</t>
        </is>
      </c>
    </row>
    <row r="8">
      <c r="A8" s="2" t="inlineStr">
        <is>
          <t>Estate Utilisation</t>
        </is>
      </c>
      <c r="B8" s="2" t="inlineStr">
        <is>
          <t>78% estate utilisation; 3,361 elective sessions; 7,856 cases</t>
        </is>
      </c>
      <c r="C8" s="2" t="inlineStr">
        <is>
          <t>Improve estate utilisation to 85%-90%</t>
        </is>
      </c>
      <c r="D8" s="5">
        <f>TEXT('Estate Utilisation'!B10,"#,##0")&amp;" - "&amp;TEXT('Estate Utilisation'!B11,"#,##0")&amp;" extra sessions; "&amp;TEXT('Estate Utilisation'!B12,"#,##0")&amp;" - "&amp;TEXT('Estate Utilisation'!B13,"#,##0")&amp;" extra cases"</f>
        <v/>
      </c>
      <c r="E8" s="6">
        <f>Inputs!B4</f>
        <v/>
      </c>
      <c r="F8" s="14">
        <f>'Estate Utilisation'!B27</f>
        <v/>
      </c>
      <c r="G8" s="14">
        <f>'Estate Utilisation'!B28</f>
        <v/>
      </c>
      <c r="H8" s="6">
        <f>'Estate Utilisation'!B15</f>
        <v/>
      </c>
      <c r="I8" s="6">
        <f>'Estate Utilisation'!B16</f>
        <v/>
      </c>
      <c r="J8" s="14">
        <f>'Estate Utilisation'!B25</f>
        <v/>
      </c>
      <c r="K8" s="14">
        <f>'Estate Utilisation'!B26</f>
        <v/>
      </c>
      <c r="L8" s="2" t="inlineStr">
        <is>
          <t>Financial columns show net income less marginal session cost. Income columns show gross income at GBP 250 per case.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35" customWidth="1" min="2" max="2"/>
    <col width="80" customWidth="1" min="3" max="3"/>
  </cols>
  <sheetData>
    <row r="1">
      <c r="A1" s="1" t="inlineStr">
        <is>
          <t>Shared Inputs</t>
        </is>
      </c>
      <c r="B1" s="2" t="n"/>
      <c r="C1" s="2" t="n"/>
    </row>
    <row r="2">
      <c r="A2" s="3" t="inlineStr">
        <is>
          <t>Formulas are retained in the workbook so the logic can be traced and updated.</t>
        </is>
      </c>
      <c r="B2" s="2" t="n"/>
      <c r="C2" s="2" t="n"/>
    </row>
    <row r="3">
      <c r="A3" s="4" t="inlineStr">
        <is>
          <t>Input</t>
        </is>
      </c>
      <c r="B3" s="4" t="inlineStr">
        <is>
          <t>Value</t>
        </is>
      </c>
      <c r="C3" s="4" t="inlineStr">
        <is>
          <t>Unit / note</t>
        </is>
      </c>
    </row>
    <row r="4">
      <c r="A4" s="2" t="inlineStr">
        <is>
          <t>RTT backlog baseline</t>
        </is>
      </c>
      <c r="B4" s="8" t="n">
        <v>23086</v>
      </c>
      <c r="C4" s="2" t="inlineStr">
        <is>
          <t>Opening backlog used across calculations</t>
        </is>
      </c>
    </row>
    <row r="5">
      <c r="A5" s="2" t="inlineStr">
        <is>
          <t>Day case eligible cohort</t>
        </is>
      </c>
      <c r="B5" s="8" t="n">
        <v>14700</v>
      </c>
      <c r="C5" s="2" t="inlineStr">
        <is>
          <t>Example eligible surgical cohort; replace if the 67.9% denominator differs</t>
        </is>
      </c>
    </row>
    <row r="6">
      <c r="A6" s="2" t="inlineStr">
        <is>
          <t>Current day case rate</t>
        </is>
      </c>
      <c r="B6" s="15" t="n">
        <v>0.679</v>
      </c>
      <c r="C6" s="2" t="inlineStr">
        <is>
          <t>Current rate from updated scenario</t>
        </is>
      </c>
    </row>
    <row r="7">
      <c r="A7" s="2" t="inlineStr">
        <is>
          <t>Target day case rate</t>
        </is>
      </c>
      <c r="B7" s="15" t="n">
        <v>0.857</v>
      </c>
      <c r="C7" s="2" t="inlineStr">
        <is>
          <t>National median from updated scenario</t>
        </is>
      </c>
    </row>
    <row r="8">
      <c r="A8" s="2" t="inlineStr">
        <is>
          <t>Bed day cost</t>
        </is>
      </c>
      <c r="B8" s="16" t="n">
        <v>350</v>
      </c>
      <c r="C8" s="2" t="inlineStr">
        <is>
          <t>GBP per bed day</t>
        </is>
      </c>
    </row>
    <row r="9">
      <c r="A9" s="2" t="inlineStr">
        <is>
          <t>Low bed days avoided per conversion</t>
        </is>
      </c>
      <c r="B9" s="11" t="n">
        <v>1</v>
      </c>
      <c r="C9" s="2" t="inlineStr">
        <is>
          <t>Minimum assumption</t>
        </is>
      </c>
    </row>
    <row r="10">
      <c r="A10" s="2" t="inlineStr">
        <is>
          <t>High bed days avoided per conversion</t>
        </is>
      </c>
      <c r="B10" s="11" t="n">
        <v>2.18</v>
      </c>
      <c r="C10" s="2" t="inlineStr">
        <is>
          <t>Observed ordinary elective LoS proxy used for high case</t>
        </is>
      </c>
    </row>
    <row r="11">
      <c r="A11" s="2" t="inlineStr">
        <is>
          <t>Source income value from previous utilisation model</t>
        </is>
      </c>
      <c r="B11" s="16" t="n">
        <v>577787</v>
      </c>
      <c r="C11" s="2" t="inlineStr">
        <is>
          <t>Definition: total extra-case income value (£577,787) from the user-shared utilisation/cash-up model. It is used only as an indicative gross income basis for extra cases/procedures, not as a confirmed tariff or a staff-cost saving.</t>
        </is>
      </c>
    </row>
    <row r="12">
      <c r="A12" s="2" t="inlineStr">
        <is>
          <t>Source extra cases from same previous model</t>
        </is>
      </c>
      <c r="B12" s="8" t="n">
        <v>5539</v>
      </c>
      <c r="C12" s="2" t="inlineStr">
        <is>
          <t>Definition: extra-case volume (5,539) attached to the same source income value. This keeps the income numerator and case denominator from the same source scenario.</t>
        </is>
      </c>
    </row>
    <row r="13">
      <c r="A13" s="2" t="inlineStr">
        <is>
          <t>Derived income per additional case proxy</t>
        </is>
      </c>
      <c r="B13" s="16">
        <f>B11/B12</f>
        <v/>
      </c>
      <c r="C13" s="2" t="inlineStr">
        <is>
          <t>Definition: average indicative income per extra case = £577,787 / 5,539 = c.£104.31. This is a proxy used only for income potential where additional activity is delivered; it should be replaced with an agreed tariff, income or contribution value if Finance provides one.</t>
        </is>
      </c>
    </row>
    <row r="14">
      <c r="A14" s="2" t="inlineStr">
        <is>
          <t>HVLC additional cases low</t>
        </is>
      </c>
      <c r="B14" s="8" t="n">
        <v>300</v>
      </c>
      <c r="C14" s="2" t="inlineStr">
        <is>
          <t>Dedicated HVLC lists lower estimate</t>
        </is>
      </c>
    </row>
    <row r="15">
      <c r="A15" s="2" t="inlineStr">
        <is>
          <t>HVLC additional cases high</t>
        </is>
      </c>
      <c r="B15" s="8" t="n">
        <v>500</v>
      </c>
      <c r="C15" s="2" t="inlineStr">
        <is>
          <t>Dedicated HVLC lists higher estimate</t>
        </is>
      </c>
    </row>
    <row r="16">
      <c r="A16" s="2" t="inlineStr">
        <is>
          <t>HVLC gross benefit high</t>
        </is>
      </c>
      <c r="B16" s="16" t="n">
        <v>220000</v>
      </c>
      <c r="C16" s="2" t="inlineStr">
        <is>
          <t>Annual financial benefit at 500 cases</t>
        </is>
      </c>
    </row>
    <row r="17">
      <c r="A17" s="2" t="inlineStr">
        <is>
          <t>HVLC setup cost</t>
        </is>
      </c>
      <c r="B17" s="16" t="n">
        <v>18000</v>
      </c>
      <c r="C17" s="2" t="inlineStr">
        <is>
          <t>Investment required</t>
        </is>
      </c>
    </row>
    <row r="18">
      <c r="A18" s="2" t="inlineStr">
        <is>
          <t>Estate current utilisation</t>
        </is>
      </c>
      <c r="B18" s="15" t="n">
        <v>0.78</v>
      </c>
      <c r="C18" s="2" t="inlineStr">
        <is>
          <t>Current estate utilisation assumption</t>
        </is>
      </c>
    </row>
    <row r="19">
      <c r="A19" s="2" t="inlineStr">
        <is>
          <t>Estate target utilisation low</t>
        </is>
      </c>
      <c r="B19" s="15" t="n">
        <v>0.85</v>
      </c>
      <c r="C19" s="2" t="inlineStr">
        <is>
          <t>Low what-if</t>
        </is>
      </c>
    </row>
    <row r="20">
      <c r="A20" s="2" t="inlineStr">
        <is>
          <t>Estate target utilisation high</t>
        </is>
      </c>
      <c r="B20" s="15" t="n">
        <v>0.9</v>
      </c>
      <c r="C20" s="2" t="inlineStr">
        <is>
          <t>High what-if</t>
        </is>
      </c>
    </row>
    <row r="21">
      <c r="A21" s="2" t="inlineStr">
        <is>
          <t>Estate baseline elective sessions</t>
        </is>
      </c>
      <c r="B21" s="8" t="n">
        <v>3361</v>
      </c>
      <c r="C21" s="2" t="inlineStr">
        <is>
          <t>Actual elective sessions from theatre extract</t>
        </is>
      </c>
    </row>
    <row r="22">
      <c r="A22" s="2" t="inlineStr">
        <is>
          <t>Estate baseline elective cases</t>
        </is>
      </c>
      <c r="B22" s="8" t="n">
        <v>7856</v>
      </c>
      <c r="C22" s="2" t="inlineStr">
        <is>
          <t>Completed elective cases from theatre extract</t>
        </is>
      </c>
    </row>
    <row r="23">
      <c r="A23" s="2" t="inlineStr">
        <is>
          <t>Estate marginal session cost</t>
        </is>
      </c>
      <c r="B23" s="16" t="n">
        <v>500</v>
      </c>
      <c r="C23" s="2" t="inlineStr">
        <is>
          <t>GBP per additional session</t>
        </is>
      </c>
    </row>
    <row r="24">
      <c r="A24" s="2" t="inlineStr">
        <is>
          <t>Theatre income per case</t>
        </is>
      </c>
      <c r="B24" s="16" t="n">
        <v>250</v>
      </c>
      <c r="C24" s="2" t="inlineStr">
        <is>
          <t>App theatre income proxy per additional case</t>
        </is>
      </c>
    </row>
    <row r="25">
      <c r="A25" s="2" t="inlineStr">
        <is>
          <t>Util low cases at 50pct job plan</t>
        </is>
      </c>
      <c r="B25" s="8" t="n">
        <v>4700</v>
      </c>
      <c r="C25" s="2" t="inlineStr">
        <is>
          <t>Source scenario: user-shared cash-up model; utilisation at 82%, HVLC improvement 20%, under-utilised job plans included at 50%.</t>
        </is>
      </c>
    </row>
    <row r="26">
      <c r="A26" s="2" t="inlineStr">
        <is>
          <t>Util high cases at 50pct job plan</t>
        </is>
      </c>
      <c r="B26" s="8" t="n">
        <v>5539</v>
      </c>
      <c r="C26" s="2" t="inlineStr">
        <is>
          <t>Source scenario: user-shared cash-up model; utilisation at 85%, HVLC improvement 30%, under-utilised job plans included at 50%.</t>
        </is>
      </c>
    </row>
    <row r="27">
      <c r="A27" s="2" t="inlineStr">
        <is>
          <t>Util low finance at 50pct job plan</t>
        </is>
      </c>
      <c r="B27" s="16" t="n">
        <v>957399.03</v>
      </c>
      <c r="C27" s="2" t="inlineStr">
        <is>
          <t>Source value from user-shared cash-up table: financial impact/WLI reduction for 4,700 cases under 82% utilisation + 20% HVLC + 50% job-plan scenario.</t>
        </is>
      </c>
    </row>
    <row r="28">
      <c r="A28" s="2" t="inlineStr">
        <is>
          <t>Util high finance at 50pct job plan</t>
        </is>
      </c>
      <c r="B28" s="16" t="n">
        <v>1117353.45</v>
      </c>
      <c r="C28" s="2" t="inlineStr">
        <is>
          <t>Source value from user-shared cash-up table: financial impact/WLI reduction for 5,539 cases under 85% utilisation + 30% HVLC + 50% job-plan scenario.</t>
        </is>
      </c>
    </row>
    <row r="29">
      <c r="A29" s="2" t="inlineStr">
        <is>
          <t>50pct job-plan case component</t>
        </is>
      </c>
      <c r="B29" s="8" t="n">
        <v>2729</v>
      </c>
      <c r="C29" s="2" t="inlineStr">
        <is>
          <t>Source from user-shared cash-up model: 50% under-utilised job-plan case component used to build no-job-plan and all-job-plan sensitivities.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35" customWidth="1" min="2" max="2"/>
    <col width="80" customWidth="1" min="3" max="3"/>
  </cols>
  <sheetData>
    <row r="1">
      <c r="A1" s="1" t="inlineStr">
        <is>
          <t>Utilisation and Job-Plan Sensitivity Workings</t>
        </is>
      </c>
      <c r="B1" s="2" t="n"/>
      <c r="C1" s="2" t="n"/>
    </row>
    <row r="2">
      <c r="A2" s="3" t="inlineStr">
        <is>
          <t>Formulas are retained in the workbook so the logic can be traced and updated.</t>
        </is>
      </c>
      <c r="B2" s="2" t="n"/>
      <c r="C2" s="2" t="n"/>
    </row>
    <row r="3">
      <c r="A3" s="4" t="inlineStr">
        <is>
          <t>Step</t>
        </is>
      </c>
      <c r="B3" s="4" t="inlineStr">
        <is>
          <t>Value</t>
        </is>
      </c>
      <c r="C3" s="4" t="inlineStr">
        <is>
          <t>Formula / source</t>
        </is>
      </c>
    </row>
    <row r="4">
      <c r="A4" s="2" t="inlineStr">
        <is>
          <t>Low utilisation case volume at 50pct job plan</t>
        </is>
      </c>
      <c r="B4" s="6">
        <f>Inputs!B25</f>
        <v/>
      </c>
      <c r="C4" s="2" t="inlineStr">
        <is>
          <t>Source scenario: Cash-up model, utilisation at 82%, HVLC improvement 20%, under-utilised job plans included at 50%; extra cases = 4,700.</t>
        </is>
      </c>
    </row>
    <row r="5">
      <c r="A5" s="2" t="inlineStr">
        <is>
          <t>High utilisation case volume at 50pct job plan</t>
        </is>
      </c>
      <c r="B5" s="6">
        <f>Inputs!B26</f>
        <v/>
      </c>
      <c r="C5" s="2" t="inlineStr">
        <is>
          <t>Source scenario: Cash-up model, utilisation at 85%, HVLC improvement 30%, under-utilised job plans included at 50%; extra cases = 5,539.</t>
        </is>
      </c>
    </row>
    <row r="6">
      <c r="A6" s="2" t="inlineStr">
        <is>
          <t>Low financial value at 50pct job plan</t>
        </is>
      </c>
      <c r="B6" s="14">
        <f>Inputs!B27</f>
        <v/>
      </c>
      <c r="C6" s="2" t="inlineStr">
        <is>
          <t>Source scenario financial impact/WLI reduction from user-shared cash-up table: utilisation 82% + HVLC 20% + 50% under-utilised job plans = £957,399.03 for 4,700 cases.</t>
        </is>
      </c>
    </row>
    <row r="7">
      <c r="A7" s="2" t="inlineStr">
        <is>
          <t>High financial value at 50pct job plan</t>
        </is>
      </c>
      <c r="B7" s="14">
        <f>Inputs!B28</f>
        <v/>
      </c>
      <c r="C7" s="2" t="inlineStr">
        <is>
          <t>Source scenario financial impact/WLI reduction from user-shared cash-up table: utilisation 85% + HVLC 30% + 50% under-utilised job plans = £1,117,353.45 for 5,539 cases.</t>
        </is>
      </c>
    </row>
    <row r="8">
      <c r="A8" s="2" t="inlineStr">
        <is>
          <t>Low financial value per case</t>
        </is>
      </c>
      <c r="B8" s="14">
        <f>B6/B4</f>
        <v/>
      </c>
      <c r="C8" s="2" t="inlineStr">
        <is>
          <t>Derived check: £957,399.03 / 4,700 cases = financial value per case for the low utilisation scenario.</t>
        </is>
      </c>
    </row>
    <row r="9">
      <c r="A9" s="2" t="inlineStr">
        <is>
          <t>High financial value per case</t>
        </is>
      </c>
      <c r="B9" s="14">
        <f>B7/B5</f>
        <v/>
      </c>
      <c r="C9" s="2" t="inlineStr">
        <is>
          <t>Derived check: £1,117,353.45 / 5,539 cases = financial value per case for the high utilisation scenario.</t>
        </is>
      </c>
    </row>
    <row r="10">
      <c r="A10" s="2" t="inlineStr">
        <is>
          <t>50pct job-plan case component</t>
        </is>
      </c>
      <c r="B10" s="6">
        <f>Inputs!B29</f>
        <v/>
      </c>
      <c r="C10" s="2" t="inlineStr">
        <is>
          <t>Source from user-shared model: 2,729 cases is the 50% under-utilised job-plan case component. It is subtracted for the no-job-plan scenario and added again for the all-job-plan scenario.</t>
        </is>
      </c>
    </row>
    <row r="11">
      <c r="A11" s="2" t="inlineStr">
        <is>
          <t>No job-plan cases low</t>
        </is>
      </c>
      <c r="B11" s="6">
        <f>B4-B10</f>
        <v/>
      </c>
      <c r="C11" s="2" t="inlineStr">
        <is>
          <t>Remove 50pct job-plan component from low scenario</t>
        </is>
      </c>
    </row>
    <row r="12">
      <c r="A12" s="2" t="inlineStr">
        <is>
          <t>No job-plan cases high</t>
        </is>
      </c>
      <c r="B12" s="6">
        <f>B5-B10</f>
        <v/>
      </c>
      <c r="C12" s="2" t="inlineStr">
        <is>
          <t>Remove 50pct job-plan component from high scenario</t>
        </is>
      </c>
    </row>
    <row r="13">
      <c r="A13" s="2" t="inlineStr">
        <is>
          <t>All job-plan cases low</t>
        </is>
      </c>
      <c r="B13" s="6">
        <f>B4+B10</f>
        <v/>
      </c>
      <c r="C13" s="2" t="inlineStr">
        <is>
          <t>Add another 50pct job-plan component to represent full delivery</t>
        </is>
      </c>
    </row>
    <row r="14">
      <c r="A14" s="2" t="inlineStr">
        <is>
          <t>All job-plan cases high</t>
        </is>
      </c>
      <c r="B14" s="6">
        <f>B5+B10</f>
        <v/>
      </c>
      <c r="C14" s="2" t="inlineStr">
        <is>
          <t>Add another 50pct job-plan component to represent full delivery</t>
        </is>
      </c>
    </row>
    <row r="15">
      <c r="A15" s="2" t="inlineStr">
        <is>
          <t>No job-plan financial low</t>
        </is>
      </c>
      <c r="B15" s="14">
        <f>B11*B8</f>
        <v/>
      </c>
      <c r="C15" s="2" t="inlineStr">
        <is>
          <t>No job-plan low cases x low financial value per case</t>
        </is>
      </c>
    </row>
    <row r="16">
      <c r="A16" s="2" t="inlineStr">
        <is>
          <t>No job-plan financial high</t>
        </is>
      </c>
      <c r="B16" s="14">
        <f>B12*B9</f>
        <v/>
      </c>
      <c r="C16" s="2" t="inlineStr">
        <is>
          <t>No job-plan high cases x high financial value per case</t>
        </is>
      </c>
    </row>
    <row r="17">
      <c r="A17" s="2" t="inlineStr">
        <is>
          <t>All job-plan financial low</t>
        </is>
      </c>
      <c r="B17" s="14">
        <f>B13*B8</f>
        <v/>
      </c>
      <c r="C17" s="2" t="inlineStr">
        <is>
          <t>All job-plan low cases x low financial value per case</t>
        </is>
      </c>
    </row>
    <row r="18">
      <c r="A18" s="2" t="inlineStr">
        <is>
          <t>All job-plan financial high</t>
        </is>
      </c>
      <c r="B18" s="14">
        <f>B14*B9</f>
        <v/>
      </c>
      <c r="C18" s="2" t="inlineStr">
        <is>
          <t>All job-plan high cases x high financial value per case</t>
        </is>
      </c>
    </row>
    <row r="19">
      <c r="A19" s="2" t="inlineStr">
        <is>
          <t>Backlog baseline</t>
        </is>
      </c>
      <c r="B19" s="6">
        <f>Inputs!B4</f>
        <v/>
      </c>
      <c r="C19" s="2" t="inlineStr">
        <is>
          <t>Opening RTT backlog</t>
        </is>
      </c>
    </row>
    <row r="20">
      <c r="A20" s="2" t="inlineStr">
        <is>
          <t>No job-plan waiting list impact low</t>
        </is>
      </c>
      <c r="B20" s="6">
        <f>B11</f>
        <v/>
      </c>
      <c r="C20" s="2" t="inlineStr">
        <is>
          <t>Assumes one additional case removes one RTT pathway</t>
        </is>
      </c>
    </row>
    <row r="21">
      <c r="A21" s="2" t="inlineStr">
        <is>
          <t>No job-plan waiting list impact high</t>
        </is>
      </c>
      <c r="B21" s="6">
        <f>B12</f>
        <v/>
      </c>
      <c r="C21" s="2" t="inlineStr">
        <is>
          <t>Assumes one additional case removes one RTT pathway</t>
        </is>
      </c>
    </row>
    <row r="22">
      <c r="A22" s="2" t="inlineStr">
        <is>
          <t>All job-plan waiting list impact low</t>
        </is>
      </c>
      <c r="B22" s="6">
        <f>B13</f>
        <v/>
      </c>
      <c r="C22" s="2" t="inlineStr">
        <is>
          <t>Assumes one additional case removes one RTT pathway</t>
        </is>
      </c>
    </row>
    <row r="23">
      <c r="A23" s="2" t="inlineStr">
        <is>
          <t>All job-plan waiting list impact high</t>
        </is>
      </c>
      <c r="B23" s="6">
        <f>B14</f>
        <v/>
      </c>
      <c r="C23" s="2" t="inlineStr">
        <is>
          <t>Assumes one additional case removes one RTT pathway</t>
        </is>
      </c>
    </row>
    <row r="24">
      <c r="A24" s="2" t="inlineStr">
        <is>
          <t>No job-plan closing backlog low</t>
        </is>
      </c>
      <c r="B24" s="6">
        <f>B19-B20</f>
        <v/>
      </c>
      <c r="C24" s="2" t="inlineStr">
        <is>
          <t>Backlog - no job-plan low impact</t>
        </is>
      </c>
    </row>
    <row r="25">
      <c r="A25" s="2" t="inlineStr">
        <is>
          <t>No job-plan closing backlog high</t>
        </is>
      </c>
      <c r="B25" s="6">
        <f>B19-B21</f>
        <v/>
      </c>
      <c r="C25" s="2" t="inlineStr">
        <is>
          <t>Backlog - no job-plan high impact</t>
        </is>
      </c>
    </row>
    <row r="26">
      <c r="A26" s="2" t="inlineStr">
        <is>
          <t>All job-plan closing backlog low</t>
        </is>
      </c>
      <c r="B26" s="6">
        <f>B19-B22</f>
        <v/>
      </c>
      <c r="C26" s="2" t="inlineStr">
        <is>
          <t>Backlog - all job-plan low impact</t>
        </is>
      </c>
    </row>
    <row r="27">
      <c r="A27" s="2" t="inlineStr">
        <is>
          <t>All job-plan closing backlog high</t>
        </is>
      </c>
      <c r="B27" s="6">
        <f>B19-B23</f>
        <v/>
      </c>
      <c r="C27" s="2" t="inlineStr">
        <is>
          <t>Backlog - all job-plan high impact</t>
        </is>
      </c>
    </row>
    <row r="28">
      <c r="A28" s="2" t="inlineStr">
        <is>
          <t>Income per case proxy</t>
        </is>
      </c>
      <c r="B28" s="14">
        <f>Inputs!B13</f>
        <v/>
      </c>
      <c r="C28" s="2" t="inlineStr">
        <is>
          <t>Earlier scenario income value / extra cases</t>
        </is>
      </c>
    </row>
    <row r="29">
      <c r="A29" s="2" t="inlineStr">
        <is>
          <t>No job-plan income low</t>
        </is>
      </c>
      <c r="B29" s="14">
        <f>B11*B28</f>
        <v/>
      </c>
      <c r="C29" s="2" t="inlineStr">
        <is>
          <t>No job-plan low cases x income proxy</t>
        </is>
      </c>
    </row>
    <row r="30">
      <c r="A30" s="2" t="inlineStr">
        <is>
          <t>No job-plan income high</t>
        </is>
      </c>
      <c r="B30" s="14">
        <f>B12*B28</f>
        <v/>
      </c>
      <c r="C30" s="2" t="inlineStr">
        <is>
          <t>No job-plan high cases x income proxy</t>
        </is>
      </c>
    </row>
    <row r="31">
      <c r="A31" s="2" t="inlineStr">
        <is>
          <t>All job-plan income low</t>
        </is>
      </c>
      <c r="B31" s="14">
        <f>B13*B28</f>
        <v/>
      </c>
      <c r="C31" s="2" t="inlineStr">
        <is>
          <t>All job-plan low cases x income proxy</t>
        </is>
      </c>
    </row>
    <row r="32">
      <c r="A32" s="2" t="inlineStr">
        <is>
          <t>All job-plan income high</t>
        </is>
      </c>
      <c r="B32" s="14">
        <f>B14*B28</f>
        <v/>
      </c>
      <c r="C32" s="2" t="inlineStr">
        <is>
          <t>All job-plan high cases x income proxy</t>
        </is>
      </c>
    </row>
    <row r="35">
      <c r="A35" s="17" t="inlineStr">
        <is>
          <t>Source note</t>
        </is>
      </c>
      <c r="B35" s="18" t="inlineStr">
        <is>
          <t>The 50pct job-plan financial values are source values from the user-shared cash-up model, not values generated from the staff-cost file. They represent financial impact/WLI reduction for the base scenarios before the no-job-plan and all-job-plan sensitivity adjustments.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75" customWidth="1" min="3" max="3"/>
  </cols>
  <sheetData>
    <row r="1">
      <c r="A1" s="1" t="inlineStr">
        <is>
          <t>Day Case Improvement Workings</t>
        </is>
      </c>
      <c r="B1" s="2" t="n"/>
      <c r="C1" s="2" t="n"/>
    </row>
    <row r="2">
      <c r="A2" s="3" t="inlineStr">
        <is>
          <t>Formulas are retained in the workbook so the logic can be traced and updated.</t>
        </is>
      </c>
      <c r="B2" s="2" t="n"/>
      <c r="C2" s="2" t="n"/>
    </row>
    <row r="3">
      <c r="A3" s="4" t="inlineStr">
        <is>
          <t>Step</t>
        </is>
      </c>
      <c r="B3" s="4" t="inlineStr">
        <is>
          <t>Value</t>
        </is>
      </c>
      <c r="C3" s="4" t="inlineStr">
        <is>
          <t>Formula / source</t>
        </is>
      </c>
    </row>
    <row r="4">
      <c r="A4" s="2" t="inlineStr">
        <is>
          <t>Eligible case cohort</t>
        </is>
      </c>
      <c r="B4" s="6">
        <f>Inputs!B5</f>
        <v/>
      </c>
      <c r="C4" s="2" t="inlineStr">
        <is>
          <t>Input: eligible surgical cohort</t>
        </is>
      </c>
    </row>
    <row r="5">
      <c r="A5" s="2" t="inlineStr">
        <is>
          <t>Current day case rate</t>
        </is>
      </c>
      <c r="B5" s="19">
        <f>Inputs!B6</f>
        <v/>
      </c>
      <c r="C5" s="2" t="inlineStr">
        <is>
          <t>Input</t>
        </is>
      </c>
    </row>
    <row r="6">
      <c r="A6" s="2" t="inlineStr">
        <is>
          <t>Target day case rate</t>
        </is>
      </c>
      <c r="B6" s="19">
        <f>Inputs!B7</f>
        <v/>
      </c>
      <c r="C6" s="2" t="inlineStr">
        <is>
          <t>Input</t>
        </is>
      </c>
    </row>
    <row r="7">
      <c r="A7" s="2" t="inlineStr">
        <is>
          <t>Rate improvement</t>
        </is>
      </c>
      <c r="B7" s="19">
        <f>B6-B5</f>
        <v/>
      </c>
      <c r="C7" s="2" t="inlineStr">
        <is>
          <t>Target rate - current rate</t>
        </is>
      </c>
    </row>
    <row r="8">
      <c r="A8" s="2" t="inlineStr">
        <is>
          <t>Current day cases</t>
        </is>
      </c>
      <c r="B8" s="6">
        <f>B4*B5</f>
        <v/>
      </c>
      <c r="C8" s="2" t="inlineStr">
        <is>
          <t>Eligible cases x current rate</t>
        </is>
      </c>
    </row>
    <row r="9">
      <c r="A9" s="2" t="inlineStr">
        <is>
          <t>Target day cases</t>
        </is>
      </c>
      <c r="B9" s="6">
        <f>B4*B6</f>
        <v/>
      </c>
      <c r="C9" s="2" t="inlineStr">
        <is>
          <t>Eligible cases x target rate</t>
        </is>
      </c>
    </row>
    <row r="10">
      <c r="A10" s="2" t="inlineStr">
        <is>
          <t>Converted overnight cases / additional day cases</t>
        </is>
      </c>
      <c r="B10" s="6">
        <f>B4*B7</f>
        <v/>
      </c>
      <c r="C10" s="2" t="inlineStr">
        <is>
          <t>Eligible cases x rate improvement</t>
        </is>
      </c>
    </row>
    <row r="11">
      <c r="A11" s="2" t="inlineStr">
        <is>
          <t>Bed day cost</t>
        </is>
      </c>
      <c r="B11" s="14">
        <f>Inputs!B8</f>
        <v/>
      </c>
      <c r="C11" s="2" t="inlineStr">
        <is>
          <t>GBP per bed day</t>
        </is>
      </c>
    </row>
    <row r="12">
      <c r="A12" s="2" t="inlineStr">
        <is>
          <t>Low bed days avoided per conversion</t>
        </is>
      </c>
      <c r="B12" s="6">
        <f>Inputs!B9</f>
        <v/>
      </c>
      <c r="C12" s="2" t="inlineStr">
        <is>
          <t>Minimum assumption</t>
        </is>
      </c>
    </row>
    <row r="13">
      <c r="A13" s="2" t="inlineStr">
        <is>
          <t>High bed days avoided per conversion</t>
        </is>
      </c>
      <c r="B13" s="6">
        <f>Inputs!B10</f>
        <v/>
      </c>
      <c r="C13" s="2" t="inlineStr">
        <is>
          <t>Observed LoS proxy</t>
        </is>
      </c>
    </row>
    <row r="14">
      <c r="A14" s="2" t="inlineStr">
        <is>
          <t>Financial efficiency low</t>
        </is>
      </c>
      <c r="B14" s="14">
        <f>B10*B12*B11</f>
        <v/>
      </c>
      <c r="C14" s="2" t="inlineStr">
        <is>
          <t>Converted cases x low bed days x bed day cost</t>
        </is>
      </c>
    </row>
    <row r="15">
      <c r="A15" s="2" t="inlineStr">
        <is>
          <t>Financial efficiency high</t>
        </is>
      </c>
      <c r="B15" s="14">
        <f>B10*B13*B11</f>
        <v/>
      </c>
      <c r="C15" s="2" t="inlineStr">
        <is>
          <t>Converted cases x high bed days x bed day cost</t>
        </is>
      </c>
    </row>
    <row r="16">
      <c r="A16" s="2" t="inlineStr">
        <is>
          <t>Backlog baseline</t>
        </is>
      </c>
      <c r="B16" s="6">
        <f>Inputs!B4</f>
        <v/>
      </c>
      <c r="C16" s="2" t="inlineStr">
        <is>
          <t>Opening RTT backlog</t>
        </is>
      </c>
    </row>
    <row r="17">
      <c r="A17" s="2" t="inlineStr">
        <is>
          <t>Waiting list impact low</t>
        </is>
      </c>
      <c r="B17" s="6">
        <f>0</f>
        <v/>
      </c>
      <c r="C17" s="2" t="inlineStr">
        <is>
          <t>No automatic backlog reduction unless capacity is reinvested</t>
        </is>
      </c>
    </row>
    <row r="18">
      <c r="A18" s="2" t="inlineStr">
        <is>
          <t>Waiting list impact high</t>
        </is>
      </c>
      <c r="B18" s="6">
        <f>B10</f>
        <v/>
      </c>
      <c r="C18" s="2" t="inlineStr">
        <is>
          <t>One converted case creates capacity for one RTT pathway</t>
        </is>
      </c>
    </row>
    <row r="19">
      <c r="A19" s="2" t="inlineStr">
        <is>
          <t>Backlog reduction high %</t>
        </is>
      </c>
      <c r="B19" s="19">
        <f>B18/B16</f>
        <v/>
      </c>
      <c r="C19" s="2" t="inlineStr">
        <is>
          <t>High impact / backlog</t>
        </is>
      </c>
    </row>
    <row r="20">
      <c r="A20" s="2" t="inlineStr">
        <is>
          <t>Closing backlog high</t>
        </is>
      </c>
      <c r="B20" s="6">
        <f>B16-B18</f>
        <v/>
      </c>
      <c r="C20" s="2" t="inlineStr">
        <is>
          <t>Backlog - high waiting list impact</t>
        </is>
      </c>
    </row>
    <row r="21">
      <c r="A21" s="2" t="inlineStr">
        <is>
          <t>Income per case proxy</t>
        </is>
      </c>
      <c r="B21" s="14">
        <f>Inputs!B13</f>
        <v/>
      </c>
      <c r="C21" s="2" t="inlineStr">
        <is>
          <t>Earlier scenario income value / extra cases</t>
        </is>
      </c>
    </row>
    <row r="22">
      <c r="A22" s="2" t="inlineStr">
        <is>
          <t>Income potential low</t>
        </is>
      </c>
      <c r="B22" s="6">
        <f>0</f>
        <v/>
      </c>
      <c r="C22" s="2" t="inlineStr">
        <is>
          <t>No extra activity delivered</t>
        </is>
      </c>
    </row>
    <row r="23">
      <c r="A23" s="2" t="inlineStr">
        <is>
          <t>Income potential high</t>
        </is>
      </c>
      <c r="B23" s="6">
        <f>B10*B21</f>
        <v/>
      </c>
      <c r="C23" s="2" t="inlineStr">
        <is>
          <t>Converted cases x income per case proxy</t>
        </is>
      </c>
    </row>
    <row r="24">
      <c r="A24" s="2" t="n"/>
      <c r="B24" s="14" t="n"/>
      <c r="C2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75" customWidth="1" min="3" max="3"/>
  </cols>
  <sheetData>
    <row r="1">
      <c r="A1" s="1" t="inlineStr">
        <is>
          <t>HVLC Workings</t>
        </is>
      </c>
      <c r="B1" s="2" t="n"/>
      <c r="C1" s="2" t="n"/>
    </row>
    <row r="2">
      <c r="A2" s="3" t="inlineStr">
        <is>
          <t>Formulas are retained in the workbook so the logic can be traced and updated.</t>
        </is>
      </c>
      <c r="B2" s="2" t="n"/>
      <c r="C2" s="2" t="n"/>
    </row>
    <row r="3">
      <c r="A3" s="4" t="inlineStr">
        <is>
          <t>Step</t>
        </is>
      </c>
      <c r="B3" s="4" t="inlineStr">
        <is>
          <t>Value</t>
        </is>
      </c>
      <c r="C3" s="4" t="inlineStr">
        <is>
          <t>Formula / source</t>
        </is>
      </c>
    </row>
    <row r="4">
      <c r="A4" s="2" t="inlineStr">
        <is>
          <t>Additional cases low</t>
        </is>
      </c>
      <c r="B4" s="6">
        <f>Inputs!B14</f>
        <v/>
      </c>
      <c r="C4" s="2" t="inlineStr">
        <is>
          <t>Input from HVLC opportunity range</t>
        </is>
      </c>
    </row>
    <row r="5">
      <c r="A5" s="2" t="inlineStr">
        <is>
          <t>Additional cases high</t>
        </is>
      </c>
      <c r="B5" s="6">
        <f>Inputs!B15</f>
        <v/>
      </c>
      <c r="C5" s="2" t="inlineStr">
        <is>
          <t>Input from HVLC opportunity range</t>
        </is>
      </c>
    </row>
    <row r="6">
      <c r="A6" s="2" t="inlineStr">
        <is>
          <t>Gross benefit at high case estimate</t>
        </is>
      </c>
      <c r="B6" s="14">
        <f>Inputs!B16</f>
        <v/>
      </c>
      <c r="C6" s="2" t="inlineStr">
        <is>
          <t>Annual financial benefit at 500 cases</t>
        </is>
      </c>
    </row>
    <row r="7">
      <c r="A7" s="2" t="inlineStr">
        <is>
          <t>Gross benefit per case</t>
        </is>
      </c>
      <c r="B7" s="14">
        <f>B6/B5</f>
        <v/>
      </c>
      <c r="C7" s="2" t="inlineStr">
        <is>
          <t>Gross benefit / high additional cases</t>
        </is>
      </c>
    </row>
    <row r="8">
      <c r="A8" s="2" t="inlineStr">
        <is>
          <t>Gross financial benefit low</t>
        </is>
      </c>
      <c r="B8" s="14">
        <f>B4*B7</f>
        <v/>
      </c>
      <c r="C8" s="2" t="inlineStr">
        <is>
          <t>Low cases x benefit per case</t>
        </is>
      </c>
    </row>
    <row r="9">
      <c r="A9" s="2" t="inlineStr">
        <is>
          <t>Gross financial benefit high</t>
        </is>
      </c>
      <c r="B9" s="14">
        <f>B5*B7</f>
        <v/>
      </c>
      <c r="C9" s="2" t="inlineStr">
        <is>
          <t>High cases x benefit per case</t>
        </is>
      </c>
    </row>
    <row r="10">
      <c r="A10" s="2" t="inlineStr">
        <is>
          <t>Setup cost</t>
        </is>
      </c>
      <c r="B10" s="14">
        <f>Inputs!B17</f>
        <v/>
      </c>
      <c r="C10" s="2" t="inlineStr">
        <is>
          <t>Investment required</t>
        </is>
      </c>
    </row>
    <row r="11">
      <c r="A11" s="2" t="inlineStr">
        <is>
          <t>Net financial opportunity low</t>
        </is>
      </c>
      <c r="B11" s="14">
        <f>B8-B10</f>
        <v/>
      </c>
      <c r="C11" s="2" t="inlineStr">
        <is>
          <t>Gross low - setup cost</t>
        </is>
      </c>
    </row>
    <row r="12">
      <c r="A12" s="2" t="inlineStr">
        <is>
          <t>Net financial opportunity high</t>
        </is>
      </c>
      <c r="B12" s="14">
        <f>B9-B10</f>
        <v/>
      </c>
      <c r="C12" s="2" t="inlineStr">
        <is>
          <t>Gross high - setup cost</t>
        </is>
      </c>
    </row>
    <row r="13">
      <c r="A13" s="2" t="inlineStr">
        <is>
          <t>Backlog baseline</t>
        </is>
      </c>
      <c r="B13" s="6">
        <f>Inputs!B4</f>
        <v/>
      </c>
      <c r="C13" s="2" t="inlineStr">
        <is>
          <t>Opening RTT backlog</t>
        </is>
      </c>
    </row>
    <row r="14">
      <c r="A14" s="2" t="inlineStr">
        <is>
          <t>Waiting list impact low</t>
        </is>
      </c>
      <c r="B14" s="6">
        <f>B4</f>
        <v/>
      </c>
      <c r="C14" s="2" t="inlineStr">
        <is>
          <t>Low additional cases</t>
        </is>
      </c>
    </row>
    <row r="15">
      <c r="A15" s="2" t="inlineStr">
        <is>
          <t>Waiting list impact high</t>
        </is>
      </c>
      <c r="B15" s="6">
        <f>B5</f>
        <v/>
      </c>
      <c r="C15" s="2" t="inlineStr">
        <is>
          <t>High additional cases</t>
        </is>
      </c>
    </row>
    <row r="16">
      <c r="A16" s="2" t="inlineStr">
        <is>
          <t>Backlog reduction low %</t>
        </is>
      </c>
      <c r="B16" s="19">
        <f>B14/B13</f>
        <v/>
      </c>
      <c r="C16" s="2" t="inlineStr">
        <is>
          <t>Low impact / backlog</t>
        </is>
      </c>
    </row>
    <row r="17">
      <c r="A17" s="2" t="inlineStr">
        <is>
          <t>Backlog reduction high %</t>
        </is>
      </c>
      <c r="B17" s="19">
        <f>B15/B13</f>
        <v/>
      </c>
      <c r="C17" s="2" t="inlineStr">
        <is>
          <t>High impact / backlog</t>
        </is>
      </c>
    </row>
    <row r="18">
      <c r="A18" s="2" t="inlineStr">
        <is>
          <t>Closing backlog low</t>
        </is>
      </c>
      <c r="B18" s="6">
        <f>B13-B14</f>
        <v/>
      </c>
      <c r="C18" s="2" t="inlineStr">
        <is>
          <t>Backlog - low impact</t>
        </is>
      </c>
    </row>
    <row r="19">
      <c r="A19" s="2" t="inlineStr">
        <is>
          <t>Closing backlog high</t>
        </is>
      </c>
      <c r="B19" s="6">
        <f>B13-B15</f>
        <v/>
      </c>
      <c r="C19" s="2" t="inlineStr">
        <is>
          <t>Backlog - high impact</t>
        </is>
      </c>
    </row>
    <row r="20">
      <c r="A20" s="2" t="inlineStr">
        <is>
          <t>Income per case proxy</t>
        </is>
      </c>
      <c r="B20" s="14">
        <f>Inputs!B13</f>
        <v/>
      </c>
      <c r="C20" s="2" t="inlineStr">
        <is>
          <t>Earlier scenario income value / extra cases</t>
        </is>
      </c>
    </row>
    <row r="21">
      <c r="A21" s="2" t="inlineStr">
        <is>
          <t>Income potential low</t>
        </is>
      </c>
      <c r="B21" s="14">
        <f>B4*B20</f>
        <v/>
      </c>
      <c r="C21" s="2" t="inlineStr">
        <is>
          <t>Low cases x income proxy</t>
        </is>
      </c>
    </row>
    <row r="22">
      <c r="A22" s="2" t="inlineStr">
        <is>
          <t>Income potential high</t>
        </is>
      </c>
      <c r="B22" s="14">
        <f>B5*B20</f>
        <v/>
      </c>
      <c r="C22" s="2" t="inlineStr">
        <is>
          <t>High cases x income proxy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7" customWidth="1" min="2" max="2"/>
    <col width="75" customWidth="1" min="3" max="3"/>
  </cols>
  <sheetData>
    <row r="1">
      <c r="A1" s="1" t="inlineStr">
        <is>
          <t>Estate Utilisation Workings</t>
        </is>
      </c>
      <c r="B1" s="2" t="n"/>
      <c r="C1" s="2" t="n"/>
    </row>
    <row r="2">
      <c r="A2" s="3" t="inlineStr">
        <is>
          <t>Formulas are retained in the workbook so the logic can be traced and updated.</t>
        </is>
      </c>
      <c r="B2" s="2" t="n"/>
      <c r="C2" s="2" t="n"/>
    </row>
    <row r="3">
      <c r="A3" s="4" t="inlineStr">
        <is>
          <t>Step</t>
        </is>
      </c>
      <c r="B3" s="4" t="inlineStr">
        <is>
          <t>Value</t>
        </is>
      </c>
      <c r="C3" s="4" t="inlineStr">
        <is>
          <t>Formula / source</t>
        </is>
      </c>
    </row>
    <row r="4">
      <c r="A4" s="2" t="inlineStr">
        <is>
          <t>Current estate utilisation</t>
        </is>
      </c>
      <c r="B4" s="19">
        <f>Inputs!B18</f>
        <v/>
      </c>
      <c r="C4" s="2" t="inlineStr">
        <is>
          <t>Input</t>
        </is>
      </c>
    </row>
    <row r="5">
      <c r="A5" s="2" t="inlineStr">
        <is>
          <t>Low target utilisation</t>
        </is>
      </c>
      <c r="B5" s="19">
        <f>Inputs!B19</f>
        <v/>
      </c>
      <c r="C5" s="2" t="inlineStr">
        <is>
          <t>Input</t>
        </is>
      </c>
    </row>
    <row r="6">
      <c r="A6" s="2" t="inlineStr">
        <is>
          <t>High target utilisation</t>
        </is>
      </c>
      <c r="B6" s="19">
        <f>Inputs!B20</f>
        <v/>
      </c>
      <c r="C6" s="2" t="inlineStr">
        <is>
          <t>Input</t>
        </is>
      </c>
    </row>
    <row r="7">
      <c r="A7" s="2" t="inlineStr">
        <is>
          <t>Baseline elective sessions</t>
        </is>
      </c>
      <c r="B7" s="6">
        <f>Inputs!B21</f>
        <v/>
      </c>
      <c r="C7" s="2" t="inlineStr">
        <is>
          <t>Theatre extract actual elective sessions</t>
        </is>
      </c>
    </row>
    <row r="8">
      <c r="A8" s="2" t="inlineStr">
        <is>
          <t>Baseline elective cases</t>
        </is>
      </c>
      <c r="B8" s="6">
        <f>Inputs!B22</f>
        <v/>
      </c>
      <c r="C8" s="2" t="inlineStr">
        <is>
          <t>Theatre extract completed elective cases</t>
        </is>
      </c>
    </row>
    <row r="9">
      <c r="A9" s="2" t="inlineStr">
        <is>
          <t>Cases per session</t>
        </is>
      </c>
      <c r="B9" s="13">
        <f>B8/B7</f>
        <v/>
      </c>
      <c r="C9" s="2" t="inlineStr">
        <is>
          <t>Baseline cases / baseline sessions</t>
        </is>
      </c>
    </row>
    <row r="10">
      <c r="A10" s="2" t="inlineStr">
        <is>
          <t>Extra sessions low</t>
        </is>
      </c>
      <c r="B10" s="6">
        <f>B7*((B5/B4)-1)</f>
        <v/>
      </c>
      <c r="C10" s="2" t="inlineStr">
        <is>
          <t>Sessions x ((low target/current utilisation)-1)</t>
        </is>
      </c>
    </row>
    <row r="11">
      <c r="A11" s="2" t="inlineStr">
        <is>
          <t>Extra sessions high</t>
        </is>
      </c>
      <c r="B11" s="6">
        <f>B7*((B6/B4)-1)</f>
        <v/>
      </c>
      <c r="C11" s="2" t="inlineStr">
        <is>
          <t>Sessions x ((high target/current utilisation)-1)</t>
        </is>
      </c>
    </row>
    <row r="12">
      <c r="A12" s="2" t="inlineStr">
        <is>
          <t>Extra cases low</t>
        </is>
      </c>
      <c r="B12" s="6">
        <f>B10*B9</f>
        <v/>
      </c>
      <c r="C12" s="2" t="inlineStr">
        <is>
          <t>Extra sessions low x cases per session</t>
        </is>
      </c>
    </row>
    <row r="13">
      <c r="A13" s="2" t="inlineStr">
        <is>
          <t>Extra cases high</t>
        </is>
      </c>
      <c r="B13" s="6">
        <f>B11*B9</f>
        <v/>
      </c>
      <c r="C13" s="2" t="inlineStr">
        <is>
          <t>Extra sessions high x cases per session</t>
        </is>
      </c>
    </row>
    <row r="14">
      <c r="A14" s="2" t="inlineStr">
        <is>
          <t>Backlog baseline</t>
        </is>
      </c>
      <c r="B14" s="6">
        <f>Inputs!B4</f>
        <v/>
      </c>
      <c r="C14" s="2" t="inlineStr">
        <is>
          <t>Opening RTT backlog</t>
        </is>
      </c>
    </row>
    <row r="15">
      <c r="A15" s="2" t="inlineStr">
        <is>
          <t>Waiting list impact low</t>
        </is>
      </c>
      <c r="B15" s="6">
        <f>B12</f>
        <v/>
      </c>
      <c r="C15" s="2" t="inlineStr">
        <is>
          <t>One additional case removes one RTT pathway</t>
        </is>
      </c>
    </row>
    <row r="16">
      <c r="A16" s="2" t="inlineStr">
        <is>
          <t>Waiting list impact high</t>
        </is>
      </c>
      <c r="B16" s="6">
        <f>B13</f>
        <v/>
      </c>
      <c r="C16" s="2" t="inlineStr">
        <is>
          <t>One additional case removes one RTT pathway</t>
        </is>
      </c>
    </row>
    <row r="17">
      <c r="A17" s="2" t="inlineStr">
        <is>
          <t>Backlog reduction low %</t>
        </is>
      </c>
      <c r="B17" s="19">
        <f>B15/B14</f>
        <v/>
      </c>
      <c r="C17" s="2" t="inlineStr">
        <is>
          <t>Low impact / backlog</t>
        </is>
      </c>
    </row>
    <row r="18">
      <c r="A18" s="2" t="inlineStr">
        <is>
          <t>Backlog reduction high %</t>
        </is>
      </c>
      <c r="B18" s="19">
        <f>B16/B14</f>
        <v/>
      </c>
      <c r="C18" s="2" t="inlineStr">
        <is>
          <t>High impact / backlog</t>
        </is>
      </c>
    </row>
    <row r="19">
      <c r="A19" s="2" t="inlineStr">
        <is>
          <t>Closing backlog low</t>
        </is>
      </c>
      <c r="B19" s="6">
        <f>B14-B15</f>
        <v/>
      </c>
      <c r="C19" s="2" t="inlineStr">
        <is>
          <t>Backlog - low impact</t>
        </is>
      </c>
    </row>
    <row r="20">
      <c r="A20" s="2" t="inlineStr">
        <is>
          <t>Closing backlog high</t>
        </is>
      </c>
      <c r="B20" s="6">
        <f>B14-B16</f>
        <v/>
      </c>
      <c r="C20" s="2" t="inlineStr">
        <is>
          <t>Backlog - high impact</t>
        </is>
      </c>
    </row>
    <row r="21">
      <c r="A21" s="2" t="inlineStr">
        <is>
          <t>Marginal session cost</t>
        </is>
      </c>
      <c r="B21" s="14">
        <f>Inputs!B23</f>
        <v/>
      </c>
      <c r="C21" s="2" t="inlineStr">
        <is>
          <t>GBP per additional session</t>
        </is>
      </c>
    </row>
    <row r="22">
      <c r="A22" s="2" t="inlineStr">
        <is>
          <t>Cost low</t>
        </is>
      </c>
      <c r="B22" s="14">
        <f>B10*B21</f>
        <v/>
      </c>
      <c r="C22" s="2" t="inlineStr">
        <is>
          <t>Extra sessions low x marginal session cost</t>
        </is>
      </c>
    </row>
    <row r="23">
      <c r="A23" s="2" t="inlineStr">
        <is>
          <t>Cost high</t>
        </is>
      </c>
      <c r="B23" s="14">
        <f>B11*B21</f>
        <v/>
      </c>
      <c r="C23" s="2" t="inlineStr">
        <is>
          <t>Extra sessions high x marginal session cost</t>
        </is>
      </c>
    </row>
    <row r="24">
      <c r="A24" s="2" t="inlineStr">
        <is>
          <t>Theatre income per case</t>
        </is>
      </c>
      <c r="B24" s="14">
        <f>Inputs!B24</f>
        <v/>
      </c>
      <c r="C24" s="2" t="inlineStr">
        <is>
          <t>App theatre income proxy</t>
        </is>
      </c>
    </row>
    <row r="25">
      <c r="A25" s="2" t="inlineStr">
        <is>
          <t>Income potential low</t>
        </is>
      </c>
      <c r="B25" s="14">
        <f>B12*B24</f>
        <v/>
      </c>
      <c r="C25" s="2" t="inlineStr">
        <is>
          <t>Extra cases low x income per case</t>
        </is>
      </c>
    </row>
    <row r="26">
      <c r="A26" s="2" t="inlineStr">
        <is>
          <t>Income potential high</t>
        </is>
      </c>
      <c r="B26" s="14">
        <f>B13*B24</f>
        <v/>
      </c>
      <c r="C26" s="2" t="inlineStr">
        <is>
          <t>Extra cases high x income per case</t>
        </is>
      </c>
    </row>
    <row r="27">
      <c r="A27" s="2" t="inlineStr">
        <is>
          <t>Net financial opportunity low</t>
        </is>
      </c>
      <c r="B27" s="14">
        <f>B25-B22</f>
        <v/>
      </c>
      <c r="C27" s="2" t="inlineStr">
        <is>
          <t>Income low - cost low</t>
        </is>
      </c>
    </row>
    <row r="28">
      <c r="A28" s="2" t="inlineStr">
        <is>
          <t>Net financial opportunity high</t>
        </is>
      </c>
      <c r="B28" s="14">
        <f>B26-B23</f>
        <v/>
      </c>
      <c r="C28" s="2" t="inlineStr">
        <is>
          <t>Income high - cost 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35" customWidth="1" min="2" max="2"/>
    <col width="80" customWidth="1" min="3" max="3"/>
    <col width="80" customWidth="1" min="4" max="4"/>
  </cols>
  <sheetData>
    <row r="1">
      <c r="A1" s="1" t="inlineStr">
        <is>
          <t>Formula Trace</t>
        </is>
      </c>
      <c r="B1" s="2" t="n"/>
      <c r="C1" s="2" t="n"/>
      <c r="D1" s="2" t="n"/>
    </row>
    <row r="2">
      <c r="A2" s="3" t="inlineStr">
        <is>
          <t>Formulas are retained in the workbook so the logic can be traced and updated.</t>
        </is>
      </c>
      <c r="B2" s="2" t="n"/>
      <c r="C2" s="2" t="n"/>
      <c r="D2" s="2" t="n"/>
    </row>
    <row r="3">
      <c r="A3" s="4" t="inlineStr">
        <is>
          <t>Initiative</t>
        </is>
      </c>
      <c r="B3" s="4" t="inlineStr">
        <is>
          <t>Output</t>
        </is>
      </c>
      <c r="C3" s="4" t="inlineStr">
        <is>
          <t>Formula</t>
        </is>
      </c>
      <c r="D3" s="4" t="inlineStr">
        <is>
          <t>Source / note</t>
        </is>
      </c>
    </row>
    <row r="4">
      <c r="A4" s="18" t="inlineStr">
        <is>
          <t>Util Job Plans</t>
        </is>
      </c>
      <c r="B4" s="18" t="inlineStr">
        <is>
          <t>Low financial value at 50pct job plan</t>
        </is>
      </c>
      <c r="C4" s="18" t="inlineStr">
        <is>
          <t>Source value, not recalculated: £957,399.03</t>
        </is>
      </c>
      <c r="D4" s="18" t="inlineStr">
        <is>
          <t>User-shared cash-up model scenario: utilisation 82%, HVLC improvement 20%, under-utilised job plans at 50%, 4,700 cases. Used as the low financial impact/WLI-reduction baseline.</t>
        </is>
      </c>
    </row>
    <row r="5">
      <c r="A5" s="18" t="inlineStr">
        <is>
          <t>Util Job Plans</t>
        </is>
      </c>
      <c r="B5" s="18" t="inlineStr">
        <is>
          <t>High financial value at 50pct job plan</t>
        </is>
      </c>
      <c r="C5" s="18" t="inlineStr">
        <is>
          <t>Source value, not recalculated: £1,117,353.45</t>
        </is>
      </c>
      <c r="D5" s="18" t="inlineStr">
        <is>
          <t>User-shared cash-up model scenario: utilisation 85%, HVLC improvement 30%, under-utilised job plans at 50%, 5,539 cases. Used as the high financial impact/WLI-reduction baseline.</t>
        </is>
      </c>
    </row>
    <row r="6">
      <c r="A6" s="18" t="inlineStr">
        <is>
          <t>Util Job Plans</t>
        </is>
      </c>
      <c r="B6" s="18" t="inlineStr">
        <is>
          <t>Low financial value per case</t>
        </is>
      </c>
      <c r="C6" s="18" t="inlineStr">
        <is>
          <t>£957,399.03 / 4,700</t>
        </is>
      </c>
      <c r="D6" s="18" t="inlineStr">
        <is>
          <t>Derived only to allow sensitivity modelling after removing or adding the job-plan case component.</t>
        </is>
      </c>
    </row>
    <row r="7">
      <c r="A7" s="18" t="inlineStr">
        <is>
          <t>Util Job Plans</t>
        </is>
      </c>
      <c r="B7" s="18" t="inlineStr">
        <is>
          <t>High financial value per case</t>
        </is>
      </c>
      <c r="C7" s="18" t="inlineStr">
        <is>
          <t>£1,117,353.45 / 5,539</t>
        </is>
      </c>
      <c r="D7" s="18" t="inlineStr">
        <is>
          <t>Derived only to allow sensitivity modelling after removing or adding the job-plan case component.</t>
        </is>
      </c>
    </row>
    <row r="8">
      <c r="A8" s="2" t="inlineStr">
        <is>
          <t>Util Job Plans</t>
        </is>
      </c>
      <c r="B8" s="2" t="inlineStr">
        <is>
          <t>No job-plan cases</t>
        </is>
      </c>
      <c r="C8" s="2" t="inlineStr">
        <is>
          <t>Original 50% job-plan case range - 2,729 cases</t>
        </is>
      </c>
      <c r="D8" s="2" t="inlineStr">
        <is>
          <t>Low 4,700 - 2,729; high 5,539 - 2,729</t>
        </is>
      </c>
    </row>
    <row r="9">
      <c r="A9" s="2" t="inlineStr">
        <is>
          <t>Util Job Plans</t>
        </is>
      </c>
      <c r="B9" s="2" t="inlineStr">
        <is>
          <t>All job-plan cases</t>
        </is>
      </c>
      <c r="C9" s="2" t="inlineStr">
        <is>
          <t>Original 50% job-plan case range + 2,729 cases</t>
        </is>
      </c>
      <c r="D9" s="2" t="inlineStr">
        <is>
          <t>Low 4,700 + 2,729; high 5,539 + 2,729</t>
        </is>
      </c>
    </row>
    <row r="10">
      <c r="A10" s="2" t="inlineStr">
        <is>
          <t>Util Job Plans</t>
        </is>
      </c>
      <c r="B10" s="2" t="inlineStr">
        <is>
          <t>Financial range</t>
        </is>
      </c>
      <c r="C10" s="2" t="inlineStr">
        <is>
          <t>Adjusted cases x scenario-specific financial value per case</t>
        </is>
      </c>
      <c r="D10" s="2" t="inlineStr">
        <is>
          <t>Financial value per case derived from earlier table</t>
        </is>
      </c>
    </row>
    <row r="11">
      <c r="A11" s="2" t="inlineStr">
        <is>
          <t>Util Job Plans</t>
        </is>
      </c>
      <c r="B11" s="2" t="inlineStr">
        <is>
          <t>Income range</t>
        </is>
      </c>
      <c r="C11" s="2" t="inlineStr">
        <is>
          <t>Adjusted cases x income per case proxy</t>
        </is>
      </c>
      <c r="D11" s="2" t="inlineStr">
        <is>
          <t>Income per case proxy = GBP577,787 / 5,539</t>
        </is>
      </c>
    </row>
    <row r="12">
      <c r="A12" s="2" t="inlineStr">
        <is>
          <t>Day Case</t>
        </is>
      </c>
      <c r="B12" s="2" t="inlineStr">
        <is>
          <t>Converted cases</t>
        </is>
      </c>
      <c r="C12" s="2" t="inlineStr">
        <is>
          <t>Eligible cohort x (target day-case rate - current day-case rate)</t>
        </is>
      </c>
      <c r="D12" s="2" t="inlineStr">
        <is>
          <t>14,700 x (85.7% - 67.9%)</t>
        </is>
      </c>
    </row>
    <row r="13">
      <c r="A13" s="2" t="inlineStr">
        <is>
          <t>Day Case</t>
        </is>
      </c>
      <c r="B13" s="2" t="inlineStr">
        <is>
          <t>Financial low</t>
        </is>
      </c>
      <c r="C13" s="2" t="inlineStr">
        <is>
          <t>Converted cases x 1 bed day x GBP350</t>
        </is>
      </c>
      <c r="D13" s="2" t="inlineStr">
        <is>
          <t>Minimum bed-day avoided assumption</t>
        </is>
      </c>
    </row>
    <row r="14">
      <c r="A14" s="2" t="inlineStr">
        <is>
          <t>Day Case</t>
        </is>
      </c>
      <c r="B14" s="2" t="inlineStr">
        <is>
          <t>Financial high</t>
        </is>
      </c>
      <c r="C14" s="2" t="inlineStr">
        <is>
          <t>Converted cases x 2.18 bed days x GBP350</t>
        </is>
      </c>
      <c r="D14" s="2" t="inlineStr">
        <is>
          <t>Uses observed ordinary elective LoS proxy</t>
        </is>
      </c>
    </row>
    <row r="15">
      <c r="A15" s="2" t="inlineStr">
        <is>
          <t>Day Case</t>
        </is>
      </c>
      <c r="B15" s="2" t="inlineStr">
        <is>
          <t>Waiting list high</t>
        </is>
      </c>
      <c r="C15" s="2" t="inlineStr">
        <is>
          <t>Converted cases x 1 RTT pathway</t>
        </is>
      </c>
      <c r="D15" s="2" t="inlineStr">
        <is>
          <t>Only if released bed capacity is used for additional RTT activity</t>
        </is>
      </c>
    </row>
    <row r="16">
      <c r="A16" s="2" t="inlineStr">
        <is>
          <t>Day Case</t>
        </is>
      </c>
      <c r="B16" s="2" t="inlineStr">
        <is>
          <t>Income high</t>
        </is>
      </c>
      <c r="C16" s="2" t="inlineStr">
        <is>
          <t>Converted cases x income per case proxy</t>
        </is>
      </c>
      <c r="D16" s="2" t="inlineStr">
        <is>
          <t>Income per case proxy = GBP577,787 / 5,539</t>
        </is>
      </c>
    </row>
    <row r="17">
      <c r="A17" s="2" t="inlineStr">
        <is>
          <t>HVLC</t>
        </is>
      </c>
      <c r="B17" s="2" t="inlineStr">
        <is>
          <t>Gross benefit per case</t>
        </is>
      </c>
      <c r="C17" s="2" t="inlineStr">
        <is>
          <t>GBP220,000 / 500 cases</t>
        </is>
      </c>
      <c r="D17" s="2" t="inlineStr">
        <is>
          <t>Opportunity model high case benefit</t>
        </is>
      </c>
    </row>
    <row r="18">
      <c r="A18" s="2" t="inlineStr">
        <is>
          <t>HVLC</t>
        </is>
      </c>
      <c r="B18" s="2" t="inlineStr">
        <is>
          <t>Gross financial range</t>
        </is>
      </c>
      <c r="C18" s="2" t="inlineStr">
        <is>
          <t>300-500 cases x gross benefit per case</t>
        </is>
      </c>
      <c r="D18" s="2" t="inlineStr">
        <is>
          <t>Gives GBP132k-GBP220k gross</t>
        </is>
      </c>
    </row>
    <row r="19">
      <c r="A19" s="2" t="inlineStr">
        <is>
          <t>HVLC</t>
        </is>
      </c>
      <c r="B19" s="2" t="inlineStr">
        <is>
          <t>Net financial range</t>
        </is>
      </c>
      <c r="C19" s="2" t="inlineStr">
        <is>
          <t>Gross benefit - GBP18,000 setup cost</t>
        </is>
      </c>
      <c r="D19" s="2" t="inlineStr">
        <is>
          <t>Gives GBP114k-GBP202k net</t>
        </is>
      </c>
    </row>
    <row r="20">
      <c r="A20" s="2" t="inlineStr">
        <is>
          <t>HVLC</t>
        </is>
      </c>
      <c r="B20" s="2" t="inlineStr">
        <is>
          <t>Waiting list impact</t>
        </is>
      </c>
      <c r="C20" s="2" t="inlineStr">
        <is>
          <t>300-500 additional cases x 1 RTT pathway</t>
        </is>
      </c>
      <c r="D20" s="2" t="inlineStr">
        <is>
          <t>Assumes all additional cases are RTT-relevant</t>
        </is>
      </c>
    </row>
    <row r="21">
      <c r="A21" s="2" t="inlineStr">
        <is>
          <t>HVLC</t>
        </is>
      </c>
      <c r="B21" s="2" t="inlineStr">
        <is>
          <t>Income range</t>
        </is>
      </c>
      <c r="C21" s="2" t="inlineStr">
        <is>
          <t>300-500 cases x income per case proxy</t>
        </is>
      </c>
      <c r="D21" s="2" t="inlineStr">
        <is>
          <t>Uses same GBP104.31 proxy as earlier scenario</t>
        </is>
      </c>
    </row>
    <row r="22">
      <c r="A22" s="2" t="inlineStr">
        <is>
          <t>Estate Utilisation</t>
        </is>
      </c>
      <c r="B22" s="2" t="inlineStr">
        <is>
          <t>Extra sessions</t>
        </is>
      </c>
      <c r="C22" s="2" t="inlineStr">
        <is>
          <t>Baseline sessions x ((target utilisation / current utilisation) - 1)</t>
        </is>
      </c>
      <c r="D22" s="2" t="inlineStr">
        <is>
          <t>Low target 85%, high target 90%, current 78%</t>
        </is>
      </c>
    </row>
    <row r="23">
      <c r="A23" s="2" t="inlineStr">
        <is>
          <t>Estate Utilisation</t>
        </is>
      </c>
      <c r="B23" s="2" t="inlineStr">
        <is>
          <t>Cases per session</t>
        </is>
      </c>
      <c r="C23" s="2" t="inlineStr">
        <is>
          <t>Baseline cases / baseline sessions</t>
        </is>
      </c>
      <c r="D23" s="2" t="inlineStr">
        <is>
          <t>7,856 / 3,361 = 2.34</t>
        </is>
      </c>
    </row>
    <row r="24">
      <c r="A24" s="2" t="inlineStr">
        <is>
          <t>Estate Utilisation</t>
        </is>
      </c>
      <c r="B24" s="2" t="inlineStr">
        <is>
          <t>Extra cases</t>
        </is>
      </c>
      <c r="C24" s="2" t="inlineStr">
        <is>
          <t>Extra sessions x cases per session</t>
        </is>
      </c>
      <c r="D24" s="2" t="inlineStr">
        <is>
          <t>Low 705, high 1,209</t>
        </is>
      </c>
    </row>
    <row r="25">
      <c r="A25" s="2" t="inlineStr">
        <is>
          <t>Estate Utilisation</t>
        </is>
      </c>
      <c r="B25" s="2" t="inlineStr">
        <is>
          <t>Session cost</t>
        </is>
      </c>
      <c r="C25" s="2" t="inlineStr">
        <is>
          <t>Extra sessions x GBP500</t>
        </is>
      </c>
      <c r="D25" s="2" t="inlineStr">
        <is>
          <t>Marginal additional session cost</t>
        </is>
      </c>
    </row>
    <row r="26">
      <c r="A26" s="2" t="inlineStr">
        <is>
          <t>Estate Utilisation</t>
        </is>
      </c>
      <c r="B26" s="2" t="inlineStr">
        <is>
          <t>Income potential</t>
        </is>
      </c>
      <c r="C26" s="2" t="inlineStr">
        <is>
          <t>Extra cases x GBP250</t>
        </is>
      </c>
      <c r="D26" s="2" t="inlineStr">
        <is>
          <t>Theatre income per case proxy from app</t>
        </is>
      </c>
    </row>
    <row r="27">
      <c r="A27" s="2" t="inlineStr">
        <is>
          <t>Estate Utilisation</t>
        </is>
      </c>
      <c r="B27" s="2" t="inlineStr">
        <is>
          <t>Net financial opportunity</t>
        </is>
      </c>
      <c r="C27" s="2" t="inlineStr">
        <is>
          <t>Income potential - session cost</t>
        </is>
      </c>
      <c r="D27" s="2" t="inlineStr">
        <is>
          <t>Shows net position after marginal session cost</t>
        </is>
      </c>
    </row>
    <row r="28">
      <c r="A28" s="18" t="inlineStr">
        <is>
          <t>Income proxy</t>
        </is>
      </c>
      <c r="B28" s="18" t="inlineStr">
        <is>
          <t>Derived income per additional case proxy</t>
        </is>
      </c>
      <c r="C28" s="18" t="inlineStr">
        <is>
          <t>£577,787 / 5,539 = c.£104.31 per additional case</t>
        </is>
      </c>
      <c r="D28" s="18" t="inlineStr">
        <is>
          <t>Source values come from the same user-shared utilisation/cash-up model scenario. This proxy is for gross income potential only, not a confirmed tariff or cost saving.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2026-06-05T16:46:35Z</dcterms:created>
  <dcterms:modified xmlns:dcterms="http://purl.org/dc/terms/" xmlns:xsi="http://www.w3.org/2001/XMLSchema-instance" xsi:type="dcterms:W3CDTF">2026-06-08T10:39:15Z</dcterms:modified>
</cp:coreProperties>
</file>