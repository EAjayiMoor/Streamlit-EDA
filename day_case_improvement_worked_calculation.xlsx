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Worked Calculation" sheetId="3" state="visible" r:id="rId3"/>
    <sheet xmlns:r="http://schemas.openxmlformats.org/officeDocument/2006/relationships" name="Specialty View" sheetId="4" state="visible" r:id="rId4"/>
    <sheet xmlns:r="http://schemas.openxmlformats.org/officeDocument/2006/relationships" name="Formula Trac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GBP #,##0"/>
    <numFmt numFmtId="166" formatCode="#,##0.0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7" customWidth="1" min="2" max="2"/>
    <col width="75" customWidth="1" min="3" max="3"/>
    <col width="75" customWidth="1" min="4" max="4"/>
  </cols>
  <sheetData>
    <row r="1">
      <c r="A1" s="1" t="inlineStr">
        <is>
          <t>Day-Case Improvement Summary</t>
        </is>
      </c>
      <c r="B1" s="2" t="n"/>
      <c r="C1" s="2" t="n"/>
      <c r="D1" s="2" t="n"/>
    </row>
    <row r="2">
      <c r="A2" s="3" t="inlineStr">
        <is>
          <t>Formula cells are highlighted in yellow; assumption cells are highlighted in green.</t>
        </is>
      </c>
      <c r="B2" s="2" t="n"/>
      <c r="C2" s="2" t="n"/>
      <c r="D2" s="2" t="n"/>
    </row>
    <row r="3">
      <c r="A3" s="4" t="inlineStr">
        <is>
          <t>Measure</t>
        </is>
      </c>
      <c r="B3" s="4" t="inlineStr">
        <is>
          <t>Low</t>
        </is>
      </c>
      <c r="C3" s="4" t="inlineStr">
        <is>
          <t>High</t>
        </is>
      </c>
      <c r="D3" s="4" t="inlineStr">
        <is>
          <t>Formula / note</t>
        </is>
      </c>
    </row>
    <row r="4">
      <c r="A4" s="2" t="inlineStr">
        <is>
          <t>Current baseline</t>
        </is>
      </c>
      <c r="B4" s="5">
        <f>Inputs!B6</f>
        <v/>
      </c>
      <c r="C4" s="5">
        <f>Inputs!B6</f>
        <v/>
      </c>
      <c r="D4" s="2" t="inlineStr">
        <is>
          <t>Current day-case rate supplied: 67.9%</t>
        </is>
      </c>
    </row>
    <row r="5">
      <c r="A5" s="2" t="inlineStr">
        <is>
          <t>What if</t>
        </is>
      </c>
      <c r="B5" s="5">
        <f>Inputs!B7</f>
        <v/>
      </c>
      <c r="C5" s="5">
        <f>Inputs!B7</f>
        <v/>
      </c>
      <c r="D5" s="2" t="inlineStr">
        <is>
          <t>Move to national median: 85.7%</t>
        </is>
      </c>
    </row>
    <row r="6">
      <c r="A6" s="2" t="inlineStr">
        <is>
          <t>Rate improvement</t>
        </is>
      </c>
      <c r="B6" s="5">
        <f>'Worked Calculation'!B7</f>
        <v/>
      </c>
      <c r="C6" s="5">
        <f>'Worked Calculation'!B7</f>
        <v/>
      </c>
      <c r="D6" s="2" t="inlineStr">
        <is>
          <t>Target rate - current rate</t>
        </is>
      </c>
    </row>
    <row r="7">
      <c r="A7" s="2" t="inlineStr">
        <is>
          <t>Converted cases</t>
        </is>
      </c>
      <c r="B7" s="6">
        <f>'Worked Calculation'!B10</f>
        <v/>
      </c>
      <c r="C7" s="6">
        <f>'Worked Calculation'!B10</f>
        <v/>
      </c>
      <c r="D7" s="2" t="inlineStr">
        <is>
          <t>Eligible cohort x rate improvement</t>
        </is>
      </c>
    </row>
    <row r="8">
      <c r="A8" s="2" t="inlineStr">
        <is>
          <t>Avoided bed days</t>
        </is>
      </c>
      <c r="B8" s="6">
        <f>'Worked Calculation'!B14</f>
        <v/>
      </c>
      <c r="C8" s="6">
        <f>'Worked Calculation'!B15</f>
        <v/>
      </c>
      <c r="D8" s="2" t="inlineStr">
        <is>
          <t>Low uses 1 bed day; high uses 2.18 bed days</t>
        </is>
      </c>
    </row>
    <row r="9">
      <c r="A9" s="2" t="inlineStr">
        <is>
          <t>Financial efficiency opportunity</t>
        </is>
      </c>
      <c r="B9" s="7">
        <f>'Worked Calculation'!B16</f>
        <v/>
      </c>
      <c r="C9" s="7">
        <f>'Worked Calculation'!B17</f>
        <v/>
      </c>
      <c r="D9" s="2" t="inlineStr">
        <is>
          <t>Avoided bed days x GBP350</t>
        </is>
      </c>
    </row>
    <row r="10">
      <c r="A10" s="2" t="inlineStr">
        <is>
          <t>Waiting list impact</t>
        </is>
      </c>
      <c r="B10" s="6">
        <f>'Worked Calculation'!B19</f>
        <v/>
      </c>
      <c r="C10" s="6">
        <f>'Worked Calculation'!B20</f>
        <v/>
      </c>
      <c r="D10" s="2" t="inlineStr">
        <is>
          <t>Low is no automatic reduction; high assumes capacity is reinvested</t>
        </is>
      </c>
    </row>
    <row r="11">
      <c r="A11" s="2" t="inlineStr">
        <is>
          <t>Income potential</t>
        </is>
      </c>
      <c r="B11" s="7">
        <f>'Worked Calculation'!B24</f>
        <v/>
      </c>
      <c r="C11" s="7">
        <f>'Worked Calculation'!B25</f>
        <v/>
      </c>
      <c r="D11" s="2" t="inlineStr">
        <is>
          <t>Only if released capacity is used for additional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75" customWidth="1" min="3" max="3"/>
  </cols>
  <sheetData>
    <row r="1">
      <c r="A1" s="1" t="inlineStr">
        <is>
          <t>Inputs</t>
        </is>
      </c>
      <c r="B1" s="2" t="n"/>
      <c r="C1" s="2" t="n"/>
    </row>
    <row r="2">
      <c r="A2" s="3" t="inlineStr">
        <is>
          <t>Formula cells are highlighted in yellow; assumption cells are highlighted in green.</t>
        </is>
      </c>
      <c r="B2" s="2" t="n"/>
      <c r="C2" s="2" t="n"/>
    </row>
    <row r="3">
      <c r="A3" s="4" t="inlineStr">
        <is>
          <t>Input</t>
        </is>
      </c>
      <c r="B3" s="4" t="inlineStr">
        <is>
          <t>Value</t>
        </is>
      </c>
      <c r="C3" s="4" t="inlineStr">
        <is>
          <t>Source / note</t>
        </is>
      </c>
    </row>
    <row r="4">
      <c r="A4" s="2" t="inlineStr">
        <is>
          <t>Opening RTT backlog</t>
        </is>
      </c>
      <c r="B4" s="8" t="n">
        <v>23086</v>
      </c>
      <c r="C4" s="2" t="inlineStr">
        <is>
          <t>Backlog baseline used in previous opportunity tables</t>
        </is>
      </c>
    </row>
    <row r="5">
      <c r="A5" s="2" t="inlineStr">
        <is>
          <t>Eligible case cohort</t>
        </is>
      </c>
      <c r="B5" s="8" t="n">
        <v>14700</v>
      </c>
      <c r="C5" s="2" t="inlineStr">
        <is>
          <t>Example surgical/HVLC cohort used in the day-case scenario</t>
        </is>
      </c>
    </row>
    <row r="6">
      <c r="A6" s="2" t="inlineStr">
        <is>
          <t>Current day-case rate</t>
        </is>
      </c>
      <c r="B6" s="9" t="n">
        <v>0.679</v>
      </c>
      <c r="C6" s="2" t="inlineStr">
        <is>
          <t>Scenario baseline supplied: 67.9%</t>
        </is>
      </c>
    </row>
    <row r="7">
      <c r="A7" s="2" t="inlineStr">
        <is>
          <t>Target day-case rate</t>
        </is>
      </c>
      <c r="B7" s="9" t="n">
        <v>0.857</v>
      </c>
      <c r="C7" s="2" t="inlineStr">
        <is>
          <t>National median supplied: 85.7%</t>
        </is>
      </c>
    </row>
    <row r="8">
      <c r="A8" s="2" t="inlineStr">
        <is>
          <t>Bed-day cost</t>
        </is>
      </c>
      <c r="B8" s="10" t="n">
        <v>350</v>
      </c>
      <c r="C8" s="2" t="inlineStr">
        <is>
          <t>Cost avoidance assumption: GBP350 per bed day</t>
        </is>
      </c>
    </row>
    <row r="9">
      <c r="A9" s="2" t="inlineStr">
        <is>
          <t>Low bed days avoided per conversion</t>
        </is>
      </c>
      <c r="B9" s="11" t="n">
        <v>1</v>
      </c>
      <c r="C9" s="2" t="inlineStr">
        <is>
          <t>Minimum assumption</t>
        </is>
      </c>
    </row>
    <row r="10">
      <c r="A10" s="2" t="inlineStr">
        <is>
          <t>High bed days avoided per conversion</t>
        </is>
      </c>
      <c r="B10" s="11" t="n">
        <v>2.18</v>
      </c>
      <c r="C10" s="2" t="inlineStr">
        <is>
          <t>Observed ordinary elective LoS proxy used for high case</t>
        </is>
      </c>
    </row>
    <row r="11">
      <c r="A11" s="2" t="inlineStr">
        <is>
          <t>Source income value from previous utilisation model</t>
        </is>
      </c>
      <c r="B11" s="10" t="n">
        <v>577787</v>
      </c>
      <c r="C11" s="2" t="inlineStr">
        <is>
          <t>Definition: total extra-case income value (£577,787) from the user-shared utilisation/cash-up model. It is used only as an indicative gross income basis for extra cases/procedures, not as a confirmed tariff or a staff-cost saving.</t>
        </is>
      </c>
    </row>
    <row r="12">
      <c r="A12" s="2" t="inlineStr">
        <is>
          <t>Source extra cases from same previous model</t>
        </is>
      </c>
      <c r="B12" s="8" t="n">
        <v>5539</v>
      </c>
      <c r="C12" s="2" t="inlineStr">
        <is>
          <t>Definition: extra-case volume (5,539) attached to the same source income value. This keeps the income numerator and case denominator from the same source scenario.</t>
        </is>
      </c>
    </row>
    <row r="13">
      <c r="A13" s="2" t="inlineStr">
        <is>
          <t>Derived income per additional case proxy</t>
        </is>
      </c>
      <c r="B13" s="10">
        <f>B11/B12</f>
        <v/>
      </c>
      <c r="C13" s="2" t="inlineStr">
        <is>
          <t>Definition: average indicative income per extra case = £577,787 / 5,539 = c.£104.31. This is a proxy used only for income potential where additional activity is delivered; it should be replaced with an agreed tariff, income or contribution value if Finance provides 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75" customWidth="1" min="3" max="3"/>
  </cols>
  <sheetData>
    <row r="1">
      <c r="A1" s="1" t="inlineStr">
        <is>
          <t>Worked Day-Case Calculation</t>
        </is>
      </c>
      <c r="B1" s="2" t="n"/>
      <c r="C1" s="2" t="n"/>
    </row>
    <row r="2">
      <c r="A2" s="3" t="inlineStr">
        <is>
          <t>Formula cells are highlighted in yellow; assumption cells are highlighted in green.</t>
        </is>
      </c>
      <c r="B2" s="2" t="n"/>
      <c r="C2" s="2" t="n"/>
    </row>
    <row r="3">
      <c r="A3" s="4" t="inlineStr">
        <is>
          <t>Step</t>
        </is>
      </c>
      <c r="B3" s="4" t="inlineStr">
        <is>
          <t>Value</t>
        </is>
      </c>
      <c r="C3" s="4" t="inlineStr">
        <is>
          <t>Formula / explanation</t>
        </is>
      </c>
    </row>
    <row r="4">
      <c r="A4" s="2" t="inlineStr">
        <is>
          <t>Eligible case cohort</t>
        </is>
      </c>
      <c r="B4" s="6">
        <f>Inputs!B5</f>
        <v/>
      </c>
      <c r="C4" s="2" t="inlineStr">
        <is>
          <t>Input</t>
        </is>
      </c>
    </row>
    <row r="5">
      <c r="A5" s="2" t="inlineStr">
        <is>
          <t>Current day-case rate</t>
        </is>
      </c>
      <c r="B5" s="5">
        <f>Inputs!B6</f>
        <v/>
      </c>
      <c r="C5" s="2" t="inlineStr">
        <is>
          <t>Input</t>
        </is>
      </c>
    </row>
    <row r="6">
      <c r="A6" s="2" t="inlineStr">
        <is>
          <t>Target day-case rate</t>
        </is>
      </c>
      <c r="B6" s="5">
        <f>Inputs!B7</f>
        <v/>
      </c>
      <c r="C6" s="2" t="inlineStr">
        <is>
          <t>Input</t>
        </is>
      </c>
    </row>
    <row r="7">
      <c r="A7" s="2" t="inlineStr">
        <is>
          <t>Rate improvement</t>
        </is>
      </c>
      <c r="B7" s="5">
        <f>B6-B5</f>
        <v/>
      </c>
      <c r="C7" s="2" t="inlineStr">
        <is>
          <t>Target rate - current rate</t>
        </is>
      </c>
    </row>
    <row r="8">
      <c r="A8" s="2" t="inlineStr">
        <is>
          <t>Current day cases</t>
        </is>
      </c>
      <c r="B8" s="6">
        <f>B4*B5</f>
        <v/>
      </c>
      <c r="C8" s="2" t="inlineStr">
        <is>
          <t>Eligible cohort x current rate</t>
        </is>
      </c>
    </row>
    <row r="9">
      <c r="A9" s="2" t="inlineStr">
        <is>
          <t>Target day cases</t>
        </is>
      </c>
      <c r="B9" s="6">
        <f>B4*B6</f>
        <v/>
      </c>
      <c r="C9" s="2" t="inlineStr">
        <is>
          <t>Eligible cohort x target rate</t>
        </is>
      </c>
    </row>
    <row r="10">
      <c r="A10" s="2" t="inlineStr">
        <is>
          <t>Converted overnight cases / additional day cases</t>
        </is>
      </c>
      <c r="B10" s="6">
        <f>B4*B7</f>
        <v/>
      </c>
      <c r="C10" s="2" t="inlineStr">
        <is>
          <t>Eligible cohort x rate improvement</t>
        </is>
      </c>
    </row>
    <row r="11">
      <c r="A11" s="2" t="inlineStr">
        <is>
          <t>Bed-day cost</t>
        </is>
      </c>
      <c r="B11" s="7">
        <f>Inputs!B8</f>
        <v/>
      </c>
      <c r="C11" s="2" t="inlineStr">
        <is>
          <t>Input</t>
        </is>
      </c>
    </row>
    <row r="12">
      <c r="A12" s="2" t="inlineStr">
        <is>
          <t>Low bed days avoided per conversion</t>
        </is>
      </c>
      <c r="B12" s="6">
        <f>Inputs!B9</f>
        <v/>
      </c>
      <c r="C12" s="2" t="inlineStr">
        <is>
          <t>Input</t>
        </is>
      </c>
    </row>
    <row r="13">
      <c r="A13" s="2" t="inlineStr">
        <is>
          <t>High bed days avoided per conversion</t>
        </is>
      </c>
      <c r="B13" s="6">
        <f>Inputs!B10</f>
        <v/>
      </c>
      <c r="C13" s="2" t="inlineStr">
        <is>
          <t>Input</t>
        </is>
      </c>
    </row>
    <row r="14">
      <c r="A14" s="2" t="inlineStr">
        <is>
          <t>Low avoided bed days</t>
        </is>
      </c>
      <c r="B14" s="6">
        <f>B10*B12</f>
        <v/>
      </c>
      <c r="C14" s="2" t="inlineStr">
        <is>
          <t>Converted cases x low bed-day assumption</t>
        </is>
      </c>
    </row>
    <row r="15">
      <c r="A15" s="2" t="inlineStr">
        <is>
          <t>High avoided bed days</t>
        </is>
      </c>
      <c r="B15" s="6">
        <f>B10*B13</f>
        <v/>
      </c>
      <c r="C15" s="2" t="inlineStr">
        <is>
          <t>Converted cases x high bed-day assumption</t>
        </is>
      </c>
    </row>
    <row r="16">
      <c r="A16" s="2" t="inlineStr">
        <is>
          <t>Financial efficiency low</t>
        </is>
      </c>
      <c r="B16" s="7">
        <f>B14*B11</f>
        <v/>
      </c>
      <c r="C16" s="2" t="inlineStr">
        <is>
          <t>Low avoided bed days x GBP350</t>
        </is>
      </c>
    </row>
    <row r="17">
      <c r="A17" s="2" t="inlineStr">
        <is>
          <t>Financial efficiency high</t>
        </is>
      </c>
      <c r="B17" s="7">
        <f>B15*B11</f>
        <v/>
      </c>
      <c r="C17" s="2" t="inlineStr">
        <is>
          <t>High avoided bed days x GBP350</t>
        </is>
      </c>
    </row>
    <row r="18">
      <c r="A18" s="2" t="inlineStr">
        <is>
          <t>Opening RTT backlog</t>
        </is>
      </c>
      <c r="B18" s="6">
        <f>Inputs!B4</f>
        <v/>
      </c>
      <c r="C18" s="2" t="inlineStr">
        <is>
          <t>Input</t>
        </is>
      </c>
    </row>
    <row r="19">
      <c r="A19" s="2" t="inlineStr">
        <is>
          <t>Waiting list impact low</t>
        </is>
      </c>
      <c r="B19" s="6">
        <f>0</f>
        <v/>
      </c>
      <c r="C19" s="2" t="inlineStr">
        <is>
          <t>No automatic RTT reduction unless released capacity is reinvested</t>
        </is>
      </c>
    </row>
    <row r="20">
      <c r="A20" s="2" t="inlineStr">
        <is>
          <t>Waiting list impact high</t>
        </is>
      </c>
      <c r="B20" s="6">
        <f>B10</f>
        <v/>
      </c>
      <c r="C20" s="2" t="inlineStr">
        <is>
          <t>One converted case creates capacity for one RTT pathway</t>
        </is>
      </c>
    </row>
    <row r="21">
      <c r="A21" s="2" t="inlineStr">
        <is>
          <t>Backlog reduction high %</t>
        </is>
      </c>
      <c r="B21" s="5">
        <f>B20/B18</f>
        <v/>
      </c>
      <c r="C21" s="2" t="inlineStr">
        <is>
          <t>Waiting list impact high / opening backlog</t>
        </is>
      </c>
    </row>
    <row r="22">
      <c r="A22" s="2" t="inlineStr">
        <is>
          <t>Closing backlog high</t>
        </is>
      </c>
      <c r="B22" s="6">
        <f>B18-B20</f>
        <v/>
      </c>
      <c r="C22" s="2" t="inlineStr">
        <is>
          <t>Opening backlog - waiting list impact high</t>
        </is>
      </c>
    </row>
    <row r="23">
      <c r="A23" s="2" t="inlineStr">
        <is>
          <t>Income per case proxy</t>
        </is>
      </c>
      <c r="B23" s="7">
        <f>Inputs!B13</f>
        <v/>
      </c>
      <c r="C23" s="2" t="inlineStr">
        <is>
          <t>Derived proxy: source income value (£577,787) divided by source extra cases (5,539), giving c.£104.31 per additional case.</t>
        </is>
      </c>
    </row>
    <row r="24">
      <c r="A24" s="2" t="inlineStr">
        <is>
          <t>Income potential low</t>
        </is>
      </c>
      <c r="B24" s="7">
        <f>0</f>
        <v/>
      </c>
      <c r="C24" s="2" t="inlineStr">
        <is>
          <t>No additional activity delivered</t>
        </is>
      </c>
    </row>
    <row r="25">
      <c r="A25" s="2" t="inlineStr">
        <is>
          <t>Income potential high</t>
        </is>
      </c>
      <c r="B25" s="7">
        <f>B10*B23</f>
        <v/>
      </c>
      <c r="C25" s="2" t="inlineStr">
        <is>
          <t>Shifted / additional cases x derived income per case proxy. This is a gross income-potential lens only and applies only if capacity is used to deliver extra activity.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1" customWidth="1" min="2" max="2"/>
    <col width="75" customWidth="1" min="3" max="3"/>
    <col width="75" customWidth="1" min="4" max="4"/>
    <col width="19" customWidth="1" min="5" max="5"/>
    <col width="15" customWidth="1" min="6" max="6"/>
    <col width="16" customWidth="1" min="7" max="7"/>
    <col width="33" customWidth="1" min="8" max="8"/>
  </cols>
  <sheetData>
    <row r="1">
      <c r="A1" s="1" t="inlineStr">
        <is>
          <t>FY25/26 Day-Case Rate by Specialty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Formula cells are highlighted in yellow; assumption cells are highlighted in green.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Specialty</t>
        </is>
      </c>
      <c r="B3" s="4" t="inlineStr">
        <is>
          <t>Focus surgical/HVLC</t>
        </is>
      </c>
      <c r="C3" s="4" t="inlineStr">
        <is>
          <t>Eligible elective spells</t>
        </is>
      </c>
      <c r="D3" s="4" t="inlineStr">
        <is>
          <t>Day cases</t>
        </is>
      </c>
      <c r="E3" s="4" t="inlineStr">
        <is>
          <t>Ordinary elective</t>
        </is>
      </c>
      <c r="F3" s="4" t="inlineStr">
        <is>
          <t>Day-case rate</t>
        </is>
      </c>
      <c r="G3" s="4" t="inlineStr">
        <is>
          <t>Gap to 85.7%</t>
        </is>
      </c>
      <c r="H3" s="4" t="inlineStr">
        <is>
          <t>Addl day cases to 85.7%</t>
        </is>
      </c>
    </row>
    <row r="4">
      <c r="A4" s="2" t="inlineStr">
        <is>
          <t>General Surgery</t>
        </is>
      </c>
      <c r="B4" s="2" t="inlineStr">
        <is>
          <t>Yes</t>
        </is>
      </c>
      <c r="C4" s="12" t="n">
        <v>4728</v>
      </c>
      <c r="D4" s="12" t="n">
        <v>3900</v>
      </c>
      <c r="E4" s="6">
        <f>C4-D4</f>
        <v/>
      </c>
      <c r="F4" s="5">
        <f>D4/C4</f>
        <v/>
      </c>
      <c r="G4" s="5">
        <f>Inputs!B7-F4</f>
        <v/>
      </c>
      <c r="H4" s="6">
        <f>MAX(0,ROUND(C4*G4,0))</f>
        <v/>
      </c>
    </row>
    <row r="5">
      <c r="A5" s="2" t="inlineStr">
        <is>
          <t>Clinical Haematology</t>
        </is>
      </c>
      <c r="B5" s="2" t="inlineStr">
        <is>
          <t>No</t>
        </is>
      </c>
      <c r="C5" s="12" t="n">
        <v>4433</v>
      </c>
      <c r="D5" s="12" t="n">
        <v>4428</v>
      </c>
      <c r="E5" s="6">
        <f>C5-D5</f>
        <v/>
      </c>
      <c r="F5" s="5">
        <f>D5/C5</f>
        <v/>
      </c>
      <c r="G5" s="5">
        <f>Inputs!B7-F5</f>
        <v/>
      </c>
      <c r="H5" s="6">
        <f>MAX(0,ROUND(C5*G5,0))</f>
        <v/>
      </c>
    </row>
    <row r="6">
      <c r="A6" s="2" t="inlineStr">
        <is>
          <t>Gastroenterology</t>
        </is>
      </c>
      <c r="B6" s="2" t="inlineStr">
        <is>
          <t>No</t>
        </is>
      </c>
      <c r="C6" s="12" t="n">
        <v>3732</v>
      </c>
      <c r="D6" s="12" t="n">
        <v>3664</v>
      </c>
      <c r="E6" s="6">
        <f>C6-D6</f>
        <v/>
      </c>
      <c r="F6" s="5">
        <f>D6/C6</f>
        <v/>
      </c>
      <c r="G6" s="5">
        <f>Inputs!B7-F6</f>
        <v/>
      </c>
      <c r="H6" s="6">
        <f>MAX(0,ROUND(C6*G6,0))</f>
        <v/>
      </c>
    </row>
    <row r="7">
      <c r="A7" s="2" t="inlineStr">
        <is>
          <t>Medical Oncology</t>
        </is>
      </c>
      <c r="B7" s="2" t="inlineStr">
        <is>
          <t>No</t>
        </is>
      </c>
      <c r="C7" s="12" t="n">
        <v>3718</v>
      </c>
      <c r="D7" s="12" t="n">
        <v>3710</v>
      </c>
      <c r="E7" s="6">
        <f>C7-D7</f>
        <v/>
      </c>
      <c r="F7" s="5">
        <f>D7/C7</f>
        <v/>
      </c>
      <c r="G7" s="5">
        <f>Inputs!B7-F7</f>
        <v/>
      </c>
      <c r="H7" s="6">
        <f>MAX(0,ROUND(C7*G7,0))</f>
        <v/>
      </c>
    </row>
    <row r="8">
      <c r="A8" s="2" t="inlineStr">
        <is>
          <t>Trauma &amp; Orthopaedics</t>
        </is>
      </c>
      <c r="B8" s="2" t="inlineStr">
        <is>
          <t>Yes</t>
        </is>
      </c>
      <c r="C8" s="12" t="n">
        <v>2156</v>
      </c>
      <c r="D8" s="12" t="n">
        <v>916</v>
      </c>
      <c r="E8" s="6">
        <f>C8-D8</f>
        <v/>
      </c>
      <c r="F8" s="5">
        <f>D8/C8</f>
        <v/>
      </c>
      <c r="G8" s="5">
        <f>Inputs!B7-F8</f>
        <v/>
      </c>
      <c r="H8" s="6">
        <f>MAX(0,ROUND(C8*G8,0))</f>
        <v/>
      </c>
    </row>
    <row r="9">
      <c r="A9" s="2" t="inlineStr">
        <is>
          <t>Urology</t>
        </is>
      </c>
      <c r="B9" s="2" t="inlineStr">
        <is>
          <t>Yes</t>
        </is>
      </c>
      <c r="C9" s="12" t="n">
        <v>1889</v>
      </c>
      <c r="D9" s="12" t="n">
        <v>1180</v>
      </c>
      <c r="E9" s="6">
        <f>C9-D9</f>
        <v/>
      </c>
      <c r="F9" s="5">
        <f>D9/C9</f>
        <v/>
      </c>
      <c r="G9" s="5">
        <f>Inputs!B7-F9</f>
        <v/>
      </c>
      <c r="H9" s="6">
        <f>MAX(0,ROUND(C9*G9,0))</f>
        <v/>
      </c>
    </row>
    <row r="10">
      <c r="A10" s="2" t="inlineStr">
        <is>
          <t>Clinical Oncology</t>
        </is>
      </c>
      <c r="B10" s="2" t="inlineStr">
        <is>
          <t>No</t>
        </is>
      </c>
      <c r="C10" s="12" t="n">
        <v>1675</v>
      </c>
      <c r="D10" s="12" t="n">
        <v>1667</v>
      </c>
      <c r="E10" s="6">
        <f>C10-D10</f>
        <v/>
      </c>
      <c r="F10" s="5">
        <f>D10/C10</f>
        <v/>
      </c>
      <c r="G10" s="5">
        <f>Inputs!B7-F10</f>
        <v/>
      </c>
      <c r="H10" s="6">
        <f>MAX(0,ROUND(C10*G10,0))</f>
        <v/>
      </c>
    </row>
    <row r="11">
      <c r="A11" s="2" t="inlineStr">
        <is>
          <t>Ophthalmology</t>
        </is>
      </c>
      <c r="B11" s="2" t="inlineStr">
        <is>
          <t>Yes</t>
        </is>
      </c>
      <c r="C11" s="12" t="n">
        <v>1454</v>
      </c>
      <c r="D11" s="12" t="n">
        <v>1447</v>
      </c>
      <c r="E11" s="6">
        <f>C11-D11</f>
        <v/>
      </c>
      <c r="F11" s="5">
        <f>D11/C11</f>
        <v/>
      </c>
      <c r="G11" s="5">
        <f>Inputs!B7-F11</f>
        <v/>
      </c>
      <c r="H11" s="6">
        <f>MAX(0,ROUND(C11*G11,0))</f>
        <v/>
      </c>
    </row>
    <row r="12">
      <c r="A12" s="2" t="inlineStr">
        <is>
          <t>Diagnostic Imaging Service</t>
        </is>
      </c>
      <c r="B12" s="2" t="inlineStr">
        <is>
          <t>No</t>
        </is>
      </c>
      <c r="C12" s="12" t="n">
        <v>1331</v>
      </c>
      <c r="D12" s="12" t="n">
        <v>1311</v>
      </c>
      <c r="E12" s="6">
        <f>C12-D12</f>
        <v/>
      </c>
      <c r="F12" s="5">
        <f>D12/C12</f>
        <v/>
      </c>
      <c r="G12" s="5">
        <f>Inputs!B7-F12</f>
        <v/>
      </c>
      <c r="H12" s="6">
        <f>MAX(0,ROUND(C12*G12,0))</f>
        <v/>
      </c>
    </row>
    <row r="13">
      <c r="A13" s="2" t="inlineStr">
        <is>
          <t>Gynaecology</t>
        </is>
      </c>
      <c r="B13" s="2" t="inlineStr">
        <is>
          <t>Yes</t>
        </is>
      </c>
      <c r="C13" s="12" t="n">
        <v>1328</v>
      </c>
      <c r="D13" s="12" t="n">
        <v>800</v>
      </c>
      <c r="E13" s="6">
        <f>C13-D13</f>
        <v/>
      </c>
      <c r="F13" s="5">
        <f>D13/C13</f>
        <v/>
      </c>
      <c r="G13" s="5">
        <f>Inputs!B7-F13</f>
        <v/>
      </c>
      <c r="H13" s="6">
        <f>MAX(0,ROUND(C13*G13,0))</f>
        <v/>
      </c>
    </row>
    <row r="14">
      <c r="A14" s="2" t="inlineStr">
        <is>
          <t>Cardiology</t>
        </is>
      </c>
      <c r="B14" s="2" t="inlineStr">
        <is>
          <t>No</t>
        </is>
      </c>
      <c r="C14" s="12" t="n">
        <v>1180</v>
      </c>
      <c r="D14" s="12" t="n">
        <v>1150</v>
      </c>
      <c r="E14" s="6">
        <f>C14-D14</f>
        <v/>
      </c>
      <c r="F14" s="5">
        <f>D14/C14</f>
        <v/>
      </c>
      <c r="G14" s="5">
        <f>Inputs!B7-F14</f>
        <v/>
      </c>
      <c r="H14" s="6">
        <f>MAX(0,ROUND(C14*G14,0))</f>
        <v/>
      </c>
    </row>
    <row r="15">
      <c r="A15" s="2" t="inlineStr">
        <is>
          <t>Obstetrics Service</t>
        </is>
      </c>
      <c r="B15" s="2" t="inlineStr">
        <is>
          <t>No</t>
        </is>
      </c>
      <c r="C15" s="12" t="n">
        <v>1093</v>
      </c>
      <c r="D15" s="12" t="n">
        <v>2</v>
      </c>
      <c r="E15" s="6">
        <f>C15-D15</f>
        <v/>
      </c>
      <c r="F15" s="5">
        <f>D15/C15</f>
        <v/>
      </c>
      <c r="G15" s="5">
        <f>Inputs!B7-F15</f>
        <v/>
      </c>
      <c r="H15" s="6">
        <f>MAX(0,ROUND(C15*G15,0))</f>
        <v/>
      </c>
    </row>
    <row r="16">
      <c r="A16" s="2" t="inlineStr">
        <is>
          <t>ENT</t>
        </is>
      </c>
      <c r="B16" s="2" t="inlineStr">
        <is>
          <t>Yes</t>
        </is>
      </c>
      <c r="C16" s="12" t="n">
        <v>978</v>
      </c>
      <c r="D16" s="12" t="n">
        <v>897</v>
      </c>
      <c r="E16" s="6">
        <f>C16-D16</f>
        <v/>
      </c>
      <c r="F16" s="5">
        <f>D16/C16</f>
        <v/>
      </c>
      <c r="G16" s="5">
        <f>Inputs!B7-F16</f>
        <v/>
      </c>
      <c r="H16" s="6">
        <f>MAX(0,ROUND(C16*G16,0))</f>
        <v/>
      </c>
    </row>
    <row r="17">
      <c r="A17" s="2" t="inlineStr">
        <is>
          <t>Oral Surgery</t>
        </is>
      </c>
      <c r="B17" s="2" t="inlineStr">
        <is>
          <t>Yes</t>
        </is>
      </c>
      <c r="C17" s="12" t="n">
        <v>941</v>
      </c>
      <c r="D17" s="12" t="n">
        <v>898</v>
      </c>
      <c r="E17" s="6">
        <f>C17-D17</f>
        <v/>
      </c>
      <c r="F17" s="5">
        <f>D17/C17</f>
        <v/>
      </c>
      <c r="G17" s="5">
        <f>Inputs!B7-F17</f>
        <v/>
      </c>
      <c r="H17" s="6">
        <f>MAX(0,ROUND(C17*G17,0))</f>
        <v/>
      </c>
    </row>
    <row r="18">
      <c r="A18" s="2" t="inlineStr">
        <is>
          <t>Rheumatology</t>
        </is>
      </c>
      <c r="B18" s="2" t="inlineStr">
        <is>
          <t>No</t>
        </is>
      </c>
      <c r="C18" s="12" t="n">
        <v>537</v>
      </c>
      <c r="D18" s="12" t="n">
        <v>534</v>
      </c>
      <c r="E18" s="6">
        <f>C18-D18</f>
        <v/>
      </c>
      <c r="F18" s="5">
        <f>D18/C18</f>
        <v/>
      </c>
      <c r="G18" s="5">
        <f>Inputs!B7-F18</f>
        <v/>
      </c>
      <c r="H18" s="6">
        <f>MAX(0,ROUND(C18*G18,0))</f>
        <v/>
      </c>
    </row>
    <row r="19">
      <c r="A19" s="2" t="inlineStr">
        <is>
          <t>Colorectal Surgery</t>
        </is>
      </c>
      <c r="B19" s="2" t="inlineStr">
        <is>
          <t>Yes</t>
        </is>
      </c>
      <c r="C19" s="12" t="n">
        <v>528</v>
      </c>
      <c r="D19" s="12" t="n">
        <v>467</v>
      </c>
      <c r="E19" s="6">
        <f>C19-D19</f>
        <v/>
      </c>
      <c r="F19" s="5">
        <f>D19/C19</f>
        <v/>
      </c>
      <c r="G19" s="5">
        <f>Inputs!B7-F19</f>
        <v/>
      </c>
      <c r="H19" s="6">
        <f>MAX(0,ROUND(C19*G19,0))</f>
        <v/>
      </c>
    </row>
    <row r="20">
      <c r="A20" s="2" t="inlineStr">
        <is>
          <t>Breast Surgery</t>
        </is>
      </c>
      <c r="B20" s="2" t="inlineStr">
        <is>
          <t>Yes</t>
        </is>
      </c>
      <c r="C20" s="12" t="n">
        <v>471</v>
      </c>
      <c r="D20" s="12" t="n">
        <v>408</v>
      </c>
      <c r="E20" s="6">
        <f>C20-D20</f>
        <v/>
      </c>
      <c r="F20" s="5">
        <f>D20/C20</f>
        <v/>
      </c>
      <c r="G20" s="5">
        <f>Inputs!B7-F20</f>
        <v/>
      </c>
      <c r="H20" s="6">
        <f>MAX(0,ROUND(C20*G20,0))</f>
        <v/>
      </c>
    </row>
    <row r="21">
      <c r="A21" s="2" t="inlineStr">
        <is>
          <t>Respiratory Medicine</t>
        </is>
      </c>
      <c r="B21" s="2" t="inlineStr">
        <is>
          <t>No</t>
        </is>
      </c>
      <c r="C21" s="12" t="n">
        <v>345</v>
      </c>
      <c r="D21" s="12" t="n">
        <v>334</v>
      </c>
      <c r="E21" s="6">
        <f>C21-D21</f>
        <v/>
      </c>
      <c r="F21" s="5">
        <f>D21/C21</f>
        <v/>
      </c>
      <c r="G21" s="5">
        <f>Inputs!B7-F21</f>
        <v/>
      </c>
      <c r="H21" s="6">
        <f>MAX(0,ROUND(C21*G21,0))</f>
        <v/>
      </c>
    </row>
    <row r="22">
      <c r="A22" s="2" t="inlineStr">
        <is>
          <t>Vascular Surgery</t>
        </is>
      </c>
      <c r="B22" s="2" t="inlineStr">
        <is>
          <t>Yes</t>
        </is>
      </c>
      <c r="C22" s="12" t="n">
        <v>227</v>
      </c>
      <c r="D22" s="12" t="n">
        <v>175</v>
      </c>
      <c r="E22" s="6">
        <f>C22-D22</f>
        <v/>
      </c>
      <c r="F22" s="5">
        <f>D22/C22</f>
        <v/>
      </c>
      <c r="G22" s="5">
        <f>Inputs!B7-F22</f>
        <v/>
      </c>
      <c r="H22" s="6">
        <f>MAX(0,ROUND(C22*G22,0))</f>
        <v/>
      </c>
    </row>
    <row r="23">
      <c r="A23" s="2" t="inlineStr">
        <is>
          <t>Paediatric Service</t>
        </is>
      </c>
      <c r="B23" s="2" t="inlineStr">
        <is>
          <t>No</t>
        </is>
      </c>
      <c r="C23" s="12" t="n">
        <v>114</v>
      </c>
      <c r="D23" s="12" t="n">
        <v>110</v>
      </c>
      <c r="E23" s="6">
        <f>C23-D23</f>
        <v/>
      </c>
      <c r="F23" s="5">
        <f>D23/C23</f>
        <v/>
      </c>
      <c r="G23" s="5">
        <f>Inputs!B7-F23</f>
        <v/>
      </c>
      <c r="H23" s="6">
        <f>MAX(0,ROUND(C23*G23,0))</f>
        <v/>
      </c>
    </row>
    <row r="24">
      <c r="A24" s="2" t="inlineStr">
        <is>
          <t>Interventional Radiology Service</t>
        </is>
      </c>
      <c r="B24" s="2" t="inlineStr">
        <is>
          <t>No</t>
        </is>
      </c>
      <c r="C24" s="12" t="n">
        <v>104</v>
      </c>
      <c r="D24" s="12" t="n">
        <v>104</v>
      </c>
      <c r="E24" s="6">
        <f>C24-D24</f>
        <v/>
      </c>
      <c r="F24" s="5">
        <f>D24/C24</f>
        <v/>
      </c>
      <c r="G24" s="5">
        <f>Inputs!B7-F24</f>
        <v/>
      </c>
      <c r="H24" s="6">
        <f>MAX(0,ROUND(C24*G24,0))</f>
        <v/>
      </c>
    </row>
    <row r="25">
      <c r="A25" s="2" t="inlineStr">
        <is>
          <t>Acute Internal Medicine</t>
        </is>
      </c>
      <c r="B25" s="2" t="inlineStr">
        <is>
          <t>No</t>
        </is>
      </c>
      <c r="C25" s="12" t="n">
        <v>53</v>
      </c>
      <c r="D25" s="12" t="n">
        <v>52</v>
      </c>
      <c r="E25" s="6">
        <f>C25-D25</f>
        <v/>
      </c>
      <c r="F25" s="5">
        <f>D25/C25</f>
        <v/>
      </c>
      <c r="G25" s="5">
        <f>Inputs!B7-F25</f>
        <v/>
      </c>
      <c r="H25" s="6">
        <f>MAX(0,ROUND(C25*G25,0))</f>
        <v/>
      </c>
    </row>
    <row r="26">
      <c r="A26" s="2" t="inlineStr">
        <is>
          <t>General Internal Medicine</t>
        </is>
      </c>
      <c r="B26" s="2" t="inlineStr">
        <is>
          <t>No</t>
        </is>
      </c>
      <c r="C26" s="12" t="n">
        <v>48</v>
      </c>
      <c r="D26" s="12" t="n">
        <v>44</v>
      </c>
      <c r="E26" s="6">
        <f>C26-D26</f>
        <v/>
      </c>
      <c r="F26" s="5">
        <f>D26/C26</f>
        <v/>
      </c>
      <c r="G26" s="5">
        <f>Inputs!B7-F26</f>
        <v/>
      </c>
      <c r="H26" s="6">
        <f>MAX(0,ROUND(C26*G26,0))</f>
        <v/>
      </c>
    </row>
    <row r="27">
      <c r="A27" s="2" t="inlineStr">
        <is>
          <t>Elderly Medicine Service</t>
        </is>
      </c>
      <c r="B27" s="2" t="inlineStr">
        <is>
          <t>No</t>
        </is>
      </c>
      <c r="C27" s="12" t="n">
        <v>41</v>
      </c>
      <c r="D27" s="12" t="n">
        <v>39</v>
      </c>
      <c r="E27" s="6">
        <f>C27-D27</f>
        <v/>
      </c>
      <c r="F27" s="5">
        <f>D27/C27</f>
        <v/>
      </c>
      <c r="G27" s="5">
        <f>Inputs!B7-F27</f>
        <v/>
      </c>
      <c r="H27" s="6">
        <f>MAX(0,ROUND(C27*G27,0))</f>
        <v/>
      </c>
    </row>
    <row r="28">
      <c r="A28" s="2" t="inlineStr">
        <is>
          <t>Midwifery Service</t>
        </is>
      </c>
      <c r="B28" s="2" t="inlineStr">
        <is>
          <t>No</t>
        </is>
      </c>
      <c r="C28" s="12" t="n">
        <v>25</v>
      </c>
      <c r="D28" s="12" t="n">
        <v>0</v>
      </c>
      <c r="E28" s="6">
        <f>C28-D28</f>
        <v/>
      </c>
      <c r="F28" s="5">
        <f>D28/C28</f>
        <v/>
      </c>
      <c r="G28" s="5">
        <f>Inputs!B7-F28</f>
        <v/>
      </c>
      <c r="H28" s="6">
        <f>MAX(0,ROUND(C28*G28,0))</f>
        <v/>
      </c>
    </row>
    <row r="29">
      <c r="A29" s="2" t="inlineStr">
        <is>
          <t>Dermatology</t>
        </is>
      </c>
      <c r="B29" s="2" t="inlineStr">
        <is>
          <t>No</t>
        </is>
      </c>
      <c r="C29" s="12" t="n">
        <v>11</v>
      </c>
      <c r="D29" s="12" t="n">
        <v>11</v>
      </c>
      <c r="E29" s="6">
        <f>C29-D29</f>
        <v/>
      </c>
      <c r="F29" s="5">
        <f>D29/C29</f>
        <v/>
      </c>
      <c r="G29" s="5">
        <f>Inputs!B7-F29</f>
        <v/>
      </c>
      <c r="H29" s="6">
        <f>MAX(0,ROUND(C29*G29,0))</f>
        <v/>
      </c>
    </row>
    <row r="30">
      <c r="A30" s="2" t="inlineStr">
        <is>
          <t>Dietetics Service</t>
        </is>
      </c>
      <c r="B30" s="2" t="inlineStr">
        <is>
          <t>No</t>
        </is>
      </c>
      <c r="C30" s="12" t="n">
        <v>10</v>
      </c>
      <c r="D30" s="12" t="n">
        <v>10</v>
      </c>
      <c r="E30" s="6">
        <f>C30-D30</f>
        <v/>
      </c>
      <c r="F30" s="5">
        <f>D30/C30</f>
        <v/>
      </c>
      <c r="G30" s="5">
        <f>Inputs!B7-F30</f>
        <v/>
      </c>
      <c r="H30" s="6">
        <f>MAX(0,ROUND(C30*G30,0))</f>
        <v/>
      </c>
    </row>
    <row r="31">
      <c r="A31" s="2" t="inlineStr">
        <is>
          <t>Paediatric Urology</t>
        </is>
      </c>
      <c r="B31" s="2" t="inlineStr">
        <is>
          <t>No</t>
        </is>
      </c>
      <c r="C31" s="12" t="n">
        <v>8</v>
      </c>
      <c r="D31" s="12" t="n">
        <v>7</v>
      </c>
      <c r="E31" s="6">
        <f>C31-D31</f>
        <v/>
      </c>
      <c r="F31" s="5">
        <f>D31/C31</f>
        <v/>
      </c>
      <c r="G31" s="5">
        <f>Inputs!B7-F31</f>
        <v/>
      </c>
      <c r="H31" s="6">
        <f>MAX(0,ROUND(C31*G31,0))</f>
        <v/>
      </c>
    </row>
    <row r="32">
      <c r="A32" s="2" t="inlineStr">
        <is>
          <t>Neurology</t>
        </is>
      </c>
      <c r="B32" s="2" t="inlineStr">
        <is>
          <t>No</t>
        </is>
      </c>
      <c r="C32" s="12" t="n">
        <v>5</v>
      </c>
      <c r="D32" s="12" t="n">
        <v>5</v>
      </c>
      <c r="E32" s="6">
        <f>C32-D32</f>
        <v/>
      </c>
      <c r="F32" s="5">
        <f>D32/C32</f>
        <v/>
      </c>
      <c r="G32" s="5">
        <f>Inputs!B7-F32</f>
        <v/>
      </c>
      <c r="H32" s="6">
        <f>MAX(0,ROUND(C32*G32,0))</f>
        <v/>
      </c>
    </row>
    <row r="33">
      <c r="A33" s="2" t="inlineStr">
        <is>
          <t>Endocrinology</t>
        </is>
      </c>
      <c r="B33" s="2" t="inlineStr">
        <is>
          <t>No</t>
        </is>
      </c>
      <c r="C33" s="12" t="n">
        <v>5</v>
      </c>
      <c r="D33" s="12" t="n">
        <v>5</v>
      </c>
      <c r="E33" s="6">
        <f>C33-D33</f>
        <v/>
      </c>
      <c r="F33" s="5">
        <f>D33/C33</f>
        <v/>
      </c>
      <c r="G33" s="5">
        <f>Inputs!B7-F33</f>
        <v/>
      </c>
      <c r="H33" s="6">
        <f>MAX(0,ROUND(C33*G33,0))</f>
        <v/>
      </c>
    </row>
    <row r="34">
      <c r="A34" s="2" t="inlineStr">
        <is>
          <t>Physiotherapy</t>
        </is>
      </c>
      <c r="B34" s="2" t="inlineStr">
        <is>
          <t>No</t>
        </is>
      </c>
      <c r="C34" s="12" t="n">
        <v>4</v>
      </c>
      <c r="D34" s="12" t="n">
        <v>4</v>
      </c>
      <c r="E34" s="6">
        <f>C34-D34</f>
        <v/>
      </c>
      <c r="F34" s="5">
        <f>D34/C34</f>
        <v/>
      </c>
      <c r="G34" s="5">
        <f>Inputs!B7-F34</f>
        <v/>
      </c>
      <c r="H34" s="6">
        <f>MAX(0,ROUND(C34*G34,0))</f>
        <v/>
      </c>
    </row>
    <row r="35">
      <c r="A35" s="2" t="inlineStr">
        <is>
          <t>Emergency Medicine Service</t>
        </is>
      </c>
      <c r="B35" s="2" t="inlineStr">
        <is>
          <t>No</t>
        </is>
      </c>
      <c r="C35" s="12" t="n">
        <v>3</v>
      </c>
      <c r="D35" s="12" t="n">
        <v>1</v>
      </c>
      <c r="E35" s="6">
        <f>C35-D35</f>
        <v/>
      </c>
      <c r="F35" s="5">
        <f>D35/C35</f>
        <v/>
      </c>
      <c r="G35" s="5">
        <f>Inputs!B7-F35</f>
        <v/>
      </c>
      <c r="H35" s="6">
        <f>MAX(0,ROUND(C35*G35,0))</f>
        <v/>
      </c>
    </row>
    <row r="36">
      <c r="A36" s="2" t="inlineStr">
        <is>
          <t>Diabetes Service</t>
        </is>
      </c>
      <c r="B36" s="2" t="inlineStr">
        <is>
          <t>No</t>
        </is>
      </c>
      <c r="C36" s="12" t="n">
        <v>2</v>
      </c>
      <c r="D36" s="12" t="n">
        <v>2</v>
      </c>
      <c r="E36" s="6">
        <f>C36-D36</f>
        <v/>
      </c>
      <c r="F36" s="5">
        <f>D36/C36</f>
        <v/>
      </c>
      <c r="G36" s="5">
        <f>Inputs!B7-F36</f>
        <v/>
      </c>
      <c r="H36" s="6">
        <f>MAX(0,ROUND(C36*G36,0))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13" t="inlineStr">
        <is>
          <t>Focus surgical/HVLC total</t>
        </is>
      </c>
      <c r="B38" s="2" t="n"/>
      <c r="C38" s="6">
        <f>SUMIF(B4:B1000,"Yes",C4:C1000)</f>
        <v/>
      </c>
      <c r="D38" s="6">
        <f>SUMIF(B4:B1000,"Yes",D4:D1000)</f>
        <v/>
      </c>
      <c r="E38" s="6">
        <f>C38-D38</f>
        <v/>
      </c>
      <c r="F38" s="5">
        <f>D38/C38</f>
        <v/>
      </c>
      <c r="G38" s="5">
        <f>Inputs!B7-F38</f>
        <v/>
      </c>
      <c r="H38" s="6">
        <f>SUMIF(B4:B1000,"Yes",H4:H1000)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75" customWidth="1" min="3" max="3"/>
    <col width="75" customWidth="1" min="4" max="4"/>
  </cols>
  <sheetData>
    <row r="1">
      <c r="A1" s="1" t="inlineStr">
        <is>
          <t>Formula Trace</t>
        </is>
      </c>
      <c r="B1" s="2" t="n"/>
      <c r="C1" s="2" t="n"/>
    </row>
    <row r="2">
      <c r="A2" s="3" t="inlineStr">
        <is>
          <t>Formula cells are highlighted in yellow; assumption cells are highlighted in green.</t>
        </is>
      </c>
      <c r="B2" s="2" t="n"/>
      <c r="C2" s="2" t="n"/>
    </row>
    <row r="3">
      <c r="A3" s="4" t="inlineStr">
        <is>
          <t>Output</t>
        </is>
      </c>
      <c r="B3" s="4" t="inlineStr">
        <is>
          <t>Formula</t>
        </is>
      </c>
      <c r="C3" s="4" t="inlineStr">
        <is>
          <t>Why it is used</t>
        </is>
      </c>
    </row>
    <row r="4">
      <c r="A4" s="2" t="inlineStr">
        <is>
          <t>Current day cases</t>
        </is>
      </c>
      <c r="B4" s="2" t="inlineStr">
        <is>
          <t>Eligible cohort x current day-case rate</t>
        </is>
      </c>
      <c r="C4" s="2" t="inlineStr">
        <is>
          <t>Shows how many cases are already day cases at 67.9%</t>
        </is>
      </c>
    </row>
    <row r="5">
      <c r="A5" s="2" t="inlineStr">
        <is>
          <t>Target day cases</t>
        </is>
      </c>
      <c r="B5" s="2" t="inlineStr">
        <is>
          <t>Eligible cohort x target day-case rate</t>
        </is>
      </c>
      <c r="C5" s="2" t="inlineStr">
        <is>
          <t>Shows expected day cases at 85.7%</t>
        </is>
      </c>
    </row>
    <row r="6">
      <c r="A6" s="2" t="inlineStr">
        <is>
          <t>Converted cases</t>
        </is>
      </c>
      <c r="B6" s="2" t="inlineStr">
        <is>
          <t>Eligible cohort x (85.7% - 67.9%)</t>
        </is>
      </c>
      <c r="C6" s="2" t="inlineStr">
        <is>
          <t>The improvement converts ordinary elective cases into day cases</t>
        </is>
      </c>
    </row>
    <row r="7">
      <c r="A7" s="2" t="inlineStr">
        <is>
          <t>Financial efficiency low</t>
        </is>
      </c>
      <c r="B7" s="2" t="inlineStr">
        <is>
          <t>Converted cases x 1 bed day x GBP350</t>
        </is>
      </c>
      <c r="C7" s="2" t="inlineStr">
        <is>
          <t>Minimum bed-day cost-avoidance case</t>
        </is>
      </c>
    </row>
    <row r="8">
      <c r="A8" s="2" t="inlineStr">
        <is>
          <t>Financial efficiency high</t>
        </is>
      </c>
      <c r="B8" s="2" t="inlineStr">
        <is>
          <t>Converted cases x 2.18 bed days x GBP350</t>
        </is>
      </c>
      <c r="C8" s="2" t="inlineStr">
        <is>
          <t>Higher case using observed LoS proxy</t>
        </is>
      </c>
    </row>
    <row r="9">
      <c r="A9" s="2" t="inlineStr">
        <is>
          <t>Waiting list impact low</t>
        </is>
      </c>
      <c r="B9" s="2" t="inlineStr">
        <is>
          <t>0</t>
        </is>
      </c>
      <c r="C9" s="2" t="inlineStr">
        <is>
          <t>Day-case conversion does not automatically reduce RTT backlog</t>
        </is>
      </c>
    </row>
    <row r="10">
      <c r="A10" s="2" t="inlineStr">
        <is>
          <t>Waiting list impact high</t>
        </is>
      </c>
      <c r="B10" s="2" t="inlineStr">
        <is>
          <t>Converted cases</t>
        </is>
      </c>
      <c r="C10" s="2" t="inlineStr">
        <is>
          <t>If released bed capacity is fully reinvested, each converted case can support one RTT pathway</t>
        </is>
      </c>
    </row>
    <row r="11">
      <c r="A11" s="2" t="inlineStr">
        <is>
          <t>Income potential high</t>
        </is>
      </c>
      <c r="B11" s="2" t="inlineStr">
        <is>
          <t>Converted cases x income per case proxy</t>
        </is>
      </c>
      <c r="C11" s="2" t="inlineStr">
        <is>
          <t>Only applies if extra activity is delivered</t>
        </is>
      </c>
    </row>
    <row r="12">
      <c r="A12" s="2" t="inlineStr">
        <is>
          <t>Specialty day-case rate</t>
        </is>
      </c>
      <c r="B12" s="2" t="inlineStr">
        <is>
          <t>Day cases / eligible elective spells</t>
        </is>
      </c>
      <c r="C12" s="2" t="inlineStr">
        <is>
          <t>Uses Patient classification from Inpatients.csv</t>
        </is>
      </c>
    </row>
    <row r="13">
      <c r="A13" s="14" t="inlineStr">
        <is>
          <t>Income proxy</t>
        </is>
      </c>
      <c r="B13" s="14" t="inlineStr">
        <is>
          <t>Derived income per additional case proxy</t>
        </is>
      </c>
      <c r="C13" s="14" t="inlineStr">
        <is>
          <t>£577,787 / 5,539 = c.£104.31 per additional case</t>
        </is>
      </c>
      <c r="D13" s="14" t="inlineStr">
        <is>
          <t>Source values come from the same user-shared utilisation/cash-up model scenario. This proxy is for gross income potential only, not a confirmed tariff or cost saving.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2026-06-08T09:10:06Z</dcterms:created>
  <dcterms:modified xmlns:dcterms="http://purl.org/dc/terms/" xmlns:xsi="http://www.w3.org/2001/XMLSchema-instance" xsi:type="dcterms:W3CDTF">2026-06-08T10:39:15Z</dcterms:modified>
</cp:coreProperties>
</file>