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04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tilisation Job Plan" sheetId="3" state="visible" r:id="rId3"/>
    <sheet xmlns:r="http://schemas.openxmlformats.org/officeDocument/2006/relationships" name="Day Case Rate" sheetId="4" state="visible" r:id="rId4"/>
    <sheet xmlns:r="http://schemas.openxmlformats.org/officeDocument/2006/relationships" name="Estate Utilisation" sheetId="5" state="visible" r:id="rId5"/>
    <sheet xmlns:r="http://schemas.openxmlformats.org/officeDocument/2006/relationships" name="HVLC" sheetId="6" state="visible" r:id="rId6"/>
    <sheet xmlns:r="http://schemas.openxmlformats.org/officeDocument/2006/relationships" name="Initiative Map" sheetId="7" state="visible" r:id="rId7"/>
    <sheet xmlns:r="http://schemas.openxmlformats.org/officeDocument/2006/relationships" name="Notes" sheetId="8" state="visible" r:id="rId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0.0"/>
    <numFmt numFmtId="167" formatCode="£#,##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67" fontId="0" fillId="7" borderId="3" applyAlignment="1" pivotButton="0" quotePrefix="0" xfId="0">
      <alignment vertical="top" wrapText="1"/>
    </xf>
    <xf numFmtId="164" fontId="0" fillId="4" borderId="3" applyAlignment="1" pivotButton="0" quotePrefix="0" xfId="0">
      <alignment vertical="top" wrapText="1"/>
    </xf>
    <xf numFmtId="3" fontId="0" fillId="4" borderId="3" applyAlignment="1" pivotButton="0" quotePrefix="0" xfId="0">
      <alignment vertical="top" wrapText="1"/>
    </xf>
    <xf numFmtId="165" fontId="0" fillId="4" borderId="3" applyAlignment="1" pivotButton="0" quotePrefix="0" xfId="0">
      <alignment vertical="top" wrapText="1"/>
    </xf>
    <xf numFmtId="167" fontId="0" fillId="4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3" fillId="2" borderId="3" applyAlignment="1" pivotButton="0" quotePrefix="0" xfId="0">
      <alignment vertical="top" wrapText="1"/>
    </xf>
    <xf numFmtId="3" fontId="0" fillId="3" borderId="3" applyAlignment="1" pivotButton="0" quotePrefix="0" xfId="0">
      <alignment vertical="top" wrapText="1"/>
    </xf>
    <xf numFmtId="167" fontId="0" fillId="3" borderId="3" applyAlignment="1" pivotButton="0" quotePrefix="0" xfId="0">
      <alignment vertical="top" wrapText="1"/>
    </xf>
    <xf numFmtId="164" fontId="0" fillId="3" borderId="3" applyAlignment="1" pivotButton="0" quotePrefix="0" xfId="0">
      <alignment vertical="top" wrapText="1"/>
    </xf>
    <xf numFmtId="165" fontId="0" fillId="5" borderId="3" applyAlignment="1" pivotButton="0" quotePrefix="0" xfId="0">
      <alignment vertical="top" wrapText="1"/>
    </xf>
    <xf numFmtId="164" fontId="0" fillId="5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2" customWidth="1" style="22" min="1" max="1"/>
    <col width="16" customWidth="1" style="22" min="2" max="2"/>
    <col width="80" customWidth="1" style="22" min="3" max="3"/>
  </cols>
  <sheetData>
    <row r="1" ht="44" customHeight="1" s="22">
      <c r="A1" s="30" t="inlineStr">
        <is>
          <t>Theatre Productivity Completeness Inputs</t>
        </is>
      </c>
      <c r="B1" s="24" t="n"/>
      <c r="C1" s="24" t="n"/>
    </row>
    <row r="2" ht="32" customHeight="1" s="22">
      <c r="A2" s="31" t="inlineStr">
        <is>
          <t>Yellow cells are editable assumptions. Formulas are kept simple for validation.</t>
        </is>
      </c>
      <c r="B2" s="24" t="n"/>
      <c r="C2" s="24" t="n"/>
    </row>
    <row r="3">
      <c r="A3" s="24" t="n"/>
      <c r="B3" s="24" t="n"/>
      <c r="C3" s="24" t="n"/>
    </row>
    <row r="4" ht="16" customHeight="1" s="22">
      <c r="A4" s="32" t="inlineStr">
        <is>
          <t>Input</t>
        </is>
      </c>
      <c r="B4" s="32" t="inlineStr">
        <is>
          <t>Value</t>
        </is>
      </c>
      <c r="C4" s="32" t="inlineStr">
        <is>
          <t>Note</t>
        </is>
      </c>
    </row>
    <row r="5" ht="32" customHeight="1" s="22">
      <c r="A5" s="24" t="inlineStr">
        <is>
          <t>Backlog baseline</t>
        </is>
      </c>
      <c r="B5" s="33" t="n">
        <v>23086</v>
      </c>
      <c r="C5" s="24" t="inlineStr">
        <is>
          <t>Surgical RTT incomplete cohort used for waiting-list reduction percentages</t>
        </is>
      </c>
    </row>
    <row r="6" ht="16" customHeight="1" s="22">
      <c r="A6" s="24" t="inlineStr">
        <is>
          <t>Income per additional case assumption</t>
        </is>
      </c>
      <c r="B6" s="34" t="n">
        <v>2000</v>
      </c>
      <c r="C6" s="24" t="inlineStr">
        <is>
          <t>Used for income potential across theatre opportunity calculations</t>
        </is>
      </c>
    </row>
    <row r="7" ht="32" customHeight="1" s="22">
      <c r="A7" s="24" t="inlineStr">
        <is>
          <t>Utilisation scenario low extra cases</t>
        </is>
      </c>
      <c r="B7" s="33" t="n">
        <v>4700</v>
      </c>
      <c r="C7" s="24" t="inlineStr">
        <is>
          <t>Source: 82% utilisation + 20% HVLC + 50% job-plan component</t>
        </is>
      </c>
    </row>
    <row r="8" ht="32" customHeight="1" s="22">
      <c r="A8" s="24" t="inlineStr">
        <is>
          <t>Utilisation scenario high extra cases</t>
        </is>
      </c>
      <c r="B8" s="33" t="n">
        <v>5539</v>
      </c>
      <c r="C8" s="24" t="inlineStr">
        <is>
          <t>Source: 85% utilisation + 30% HVLC + 50% job-plan component</t>
        </is>
      </c>
    </row>
    <row r="9" ht="16" customHeight="1" s="22">
      <c r="A9" s="24" t="inlineStr">
        <is>
          <t>Utilisation scenario low financial efficiency</t>
        </is>
      </c>
      <c r="B9" s="35" t="n">
        <v>957399.03</v>
      </c>
      <c r="C9" s="24" t="inlineStr">
        <is>
          <t>Source value from shared table</t>
        </is>
      </c>
    </row>
    <row r="10" ht="16" customHeight="1" s="22">
      <c r="A10" s="24" t="inlineStr">
        <is>
          <t>Utilisation scenario high financial efficiency</t>
        </is>
      </c>
      <c r="B10" s="35" t="n">
        <v>1117353.45</v>
      </c>
      <c r="C10" s="24" t="inlineStr">
        <is>
          <t>Source value from shared table</t>
        </is>
      </c>
    </row>
    <row r="11" ht="16" customHeight="1" s="22">
      <c r="A11" s="24" t="inlineStr">
        <is>
          <t>50% job-plan case component</t>
        </is>
      </c>
      <c r="B11" s="33" t="n">
        <v>2729</v>
      </c>
      <c r="C11" s="24" t="inlineStr">
        <is>
          <t>Used to show no-job-plan and all-job-plan sensitivities</t>
        </is>
      </c>
    </row>
    <row r="12" ht="16" customHeight="1" s="22">
      <c r="A12" s="24" t="inlineStr">
        <is>
          <t>HVLC additional cases low</t>
        </is>
      </c>
      <c r="B12" s="33" t="n">
        <v>300</v>
      </c>
      <c r="C12" s="24" t="inlineStr">
        <is>
          <t>Dedicated HVLC lists lower estimate</t>
        </is>
      </c>
    </row>
    <row r="13" ht="16" customHeight="1" s="22">
      <c r="A13" s="24" t="inlineStr">
        <is>
          <t>HVLC additional cases high</t>
        </is>
      </c>
      <c r="B13" s="33" t="n">
        <v>500</v>
      </c>
      <c r="C13" s="24" t="inlineStr">
        <is>
          <t>Dedicated HVLC lists higher estimate</t>
        </is>
      </c>
    </row>
    <row r="14" ht="16" customHeight="1" s="22">
      <c r="A14" s="24" t="inlineStr">
        <is>
          <t>HVLC gross benefit at high case</t>
        </is>
      </c>
      <c r="B14" s="35" t="n">
        <v>220000</v>
      </c>
      <c r="C14" s="24" t="inlineStr">
        <is>
          <t>Gross benefit at 500 cases from opportunity model</t>
        </is>
      </c>
    </row>
    <row r="15" ht="16" customHeight="1" s="22">
      <c r="A15" s="24" t="inlineStr">
        <is>
          <t>HVLC setup cost removed</t>
        </is>
      </c>
      <c r="B15" s="35" t="n">
        <v>0</v>
      </c>
      <c r="C15" s="24" t="inlineStr">
        <is>
          <t>No setup/investment cost deducted; HVLC shown as gross opportunity only</t>
        </is>
      </c>
    </row>
    <row r="16" ht="16" customHeight="1" s="22">
      <c r="A16" s="24" t="inlineStr">
        <is>
          <t>Current day case rate</t>
        </is>
      </c>
      <c r="B16" s="36" t="n">
        <v>0.679</v>
      </c>
      <c r="C16" s="24" t="inlineStr">
        <is>
          <t>Baseline day case rate from Model Hospital BADS All metric</t>
        </is>
      </c>
    </row>
    <row r="17" ht="16" customHeight="1" s="22">
      <c r="A17" s="24" t="inlineStr">
        <is>
          <t>Day case target low</t>
        </is>
      </c>
      <c r="B17" s="36" t="n">
        <v>0.785</v>
      </c>
      <c r="C17" s="24" t="inlineStr">
        <is>
          <t>Low what-if target</t>
        </is>
      </c>
    </row>
    <row r="18" ht="16" customHeight="1" s="22">
      <c r="A18" s="24" t="inlineStr">
        <is>
          <t>Day case target high</t>
        </is>
      </c>
      <c r="B18" s="36" t="n">
        <v>0.857</v>
      </c>
      <c r="C18" s="24" t="inlineStr">
        <is>
          <t>High what-if target / national median shared</t>
        </is>
      </c>
    </row>
    <row r="19" ht="16" customHeight="1" s="22">
      <c r="A19" s="24" t="inlineStr">
        <is>
          <t>Day case financial value per shifted case</t>
        </is>
      </c>
      <c r="B19" s="37" t="n">
        <v>350</v>
      </c>
      <c r="C19" s="24" t="inlineStr">
        <is>
          <t>Financial efficiency value used for day-case shifted cases</t>
        </is>
      </c>
    </row>
    <row r="20" ht="16" customHeight="1" s="22">
      <c r="A20" s="24" t="inlineStr">
        <is>
          <t>Current estate utilisation</t>
        </is>
      </c>
      <c r="B20" s="36" t="n">
        <v>0.78</v>
      </c>
      <c r="C20" s="24" t="inlineStr">
        <is>
          <t>Current theatre estate utilisation baseline</t>
        </is>
      </c>
    </row>
    <row r="21" ht="16" customHeight="1" s="22">
      <c r="A21" s="24" t="inlineStr">
        <is>
          <t>Estate target low</t>
        </is>
      </c>
      <c r="B21" s="36" t="n">
        <v>0.85</v>
      </c>
      <c r="C21" s="24" t="inlineStr">
        <is>
          <t>Low what-if target</t>
        </is>
      </c>
    </row>
    <row r="22" ht="16" customHeight="1" s="22">
      <c r="A22" s="24" t="inlineStr">
        <is>
          <t>Estate target high</t>
        </is>
      </c>
      <c r="B22" s="36" t="n">
        <v>0.95</v>
      </c>
      <c r="C22" s="24" t="inlineStr">
        <is>
          <t>High what-if target</t>
        </is>
      </c>
    </row>
    <row r="23" ht="16" customHeight="1" s="22">
      <c r="A23" s="24" t="inlineStr">
        <is>
          <t>Estate baseline elective sessions</t>
        </is>
      </c>
      <c r="B23" s="38" t="n">
        <v>3361</v>
      </c>
      <c r="C23" s="24" t="inlineStr">
        <is>
          <t>Baseline elective sessions</t>
        </is>
      </c>
    </row>
    <row r="24" ht="16" customHeight="1" s="22">
      <c r="A24" s="24" t="inlineStr">
        <is>
          <t>Estate baseline elective cases</t>
        </is>
      </c>
      <c r="B24" s="38" t="n">
        <v>7856</v>
      </c>
      <c r="C24" s="24" t="inlineStr">
        <is>
          <t>Baseline completed elective cases</t>
        </is>
      </c>
    </row>
    <row r="25" ht="16" customHeight="1" s="22">
      <c r="A25" s="24" t="inlineStr">
        <is>
          <t>Estate financial value per additional session</t>
        </is>
      </c>
      <c r="B25" s="37" t="n">
        <v>500</v>
      </c>
      <c r="C25" s="24" t="inlineStr">
        <is>
          <t>Financial efficiency/session value</t>
        </is>
      </c>
    </row>
    <row r="26">
      <c r="A26" s="24" t="inlineStr">
        <is>
          <t>HVLC income per additional case assumption</t>
        </is>
      </c>
      <c r="B26" s="25" t="n">
        <v>2000</v>
      </c>
      <c r="C26" s="24" t="inlineStr">
        <is>
          <t>Same £2,000 income assumption used for HVLC income potential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4" customWidth="1" style="22" min="1" max="1"/>
    <col width="42" customWidth="1" style="22" min="2" max="2"/>
    <col width="24" customWidth="1" style="22" min="3" max="4"/>
    <col width="18" customWidth="1" style="22" min="5" max="12"/>
    <col width="70" customWidth="1" style="22" min="13" max="13"/>
  </cols>
  <sheetData>
    <row r="1" ht="44" customHeight="1" s="22">
      <c r="A1" s="1" t="inlineStr">
        <is>
          <t>Theatre Productivity Completeness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 s="22">
      <c r="A2" s="3" t="inlineStr">
        <is>
          <t>Linked to simple workings tabs.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6" customHeight="1" s="22">
      <c r="A4" s="15" t="inlineStr">
        <is>
          <t>Initiative</t>
        </is>
      </c>
      <c r="B4" s="15" t="inlineStr">
        <is>
          <t>Baseline / scope</t>
        </is>
      </c>
      <c r="C4" s="15" t="inlineStr">
        <is>
          <t>Low what-if</t>
        </is>
      </c>
      <c r="D4" s="15" t="inlineStr">
        <is>
          <t>High what-if</t>
        </is>
      </c>
      <c r="E4" s="15" t="inlineStr">
        <is>
          <t>Financial efficiency low</t>
        </is>
      </c>
      <c r="F4" s="15" t="inlineStr">
        <is>
          <t>Financial efficiency high</t>
        </is>
      </c>
      <c r="G4" s="15" t="inlineStr">
        <is>
          <t>Waiting list impact low</t>
        </is>
      </c>
      <c r="H4" s="15" t="inlineStr">
        <is>
          <t>Waiting list impact high</t>
        </is>
      </c>
      <c r="I4" s="15" t="inlineStr">
        <is>
          <t>Waiting list reduction low</t>
        </is>
      </c>
      <c r="J4" s="15" t="inlineStr">
        <is>
          <t>Waiting list reduction high</t>
        </is>
      </c>
      <c r="K4" s="15" t="inlineStr">
        <is>
          <t>Income potential low</t>
        </is>
      </c>
      <c r="L4" s="15" t="inlineStr">
        <is>
          <t>Income potential high</t>
        </is>
      </c>
      <c r="M4" s="15" t="inlineStr">
        <is>
          <t>Simple calculation note</t>
        </is>
      </c>
    </row>
    <row r="5" ht="32" customHeight="1" s="22">
      <c r="A5" s="2" t="inlineStr">
        <is>
          <t>Increase utilisation - current scenario range</t>
        </is>
      </c>
      <c r="B5" s="2" t="inlineStr">
        <is>
          <t>Shared scenario values with 50% job-plan component included</t>
        </is>
      </c>
      <c r="C5" s="2" t="inlineStr">
        <is>
          <t>82% utilisation + 20% HVLC</t>
        </is>
      </c>
      <c r="D5" s="2" t="inlineStr">
        <is>
          <t>85% utilisation + 30% HVLC</t>
        </is>
      </c>
      <c r="E5" s="7">
        <f>'Utilisation Job Plan'!B8</f>
        <v/>
      </c>
      <c r="F5" s="7">
        <f>'Utilisation Job Plan'!C8</f>
        <v/>
      </c>
      <c r="G5" s="8">
        <f>'Utilisation Job Plan'!B6</f>
        <v/>
      </c>
      <c r="H5" s="8">
        <f>'Utilisation Job Plan'!C6</f>
        <v/>
      </c>
      <c r="I5" s="9">
        <f>'Utilisation Job Plan'!B9</f>
        <v/>
      </c>
      <c r="J5" s="9">
        <f>'Utilisation Job Plan'!C9</f>
        <v/>
      </c>
      <c r="K5" s="7">
        <f>'Utilisation Job Plan'!B10</f>
        <v/>
      </c>
      <c r="L5" s="7">
        <f>'Utilisation Job Plan'!C10</f>
        <v/>
      </c>
      <c r="M5" s="2" t="inlineStr">
        <is>
          <t>Financial values are source values from the shared scenario table. Waiting-list % = cases / backlog. Income potential = extra cases x £2,000.</t>
        </is>
      </c>
    </row>
    <row r="6" ht="32" customHeight="1" s="22">
      <c r="A6" s="2" t="inlineStr">
        <is>
          <t>Utilisation - no job-plan sensitivity</t>
        </is>
      </c>
      <c r="B6" s="2" t="inlineStr">
        <is>
          <t>Removes the 50% job-plan case component</t>
        </is>
      </c>
      <c r="C6" s="2" t="inlineStr">
        <is>
          <t>82% scenario less job-plan component</t>
        </is>
      </c>
      <c r="D6" s="2" t="inlineStr">
        <is>
          <t>85% scenario less job-plan component</t>
        </is>
      </c>
      <c r="E6" s="7">
        <f>'Utilisation Job Plan'!D18</f>
        <v/>
      </c>
      <c r="F6" s="7">
        <f>'Utilisation Job Plan'!D21</f>
        <v/>
      </c>
      <c r="G6" s="8">
        <f>'Utilisation Job Plan'!C18</f>
        <v/>
      </c>
      <c r="H6" s="8">
        <f>'Utilisation Job Plan'!C21</f>
        <v/>
      </c>
      <c r="I6" s="9">
        <f>'Utilisation Job Plan'!E18</f>
        <v/>
      </c>
      <c r="J6" s="9">
        <f>'Utilisation Job Plan'!E21</f>
        <v/>
      </c>
      <c r="K6" s="7">
        <f>'Utilisation Job Plan'!F18</f>
        <v/>
      </c>
      <c r="L6" s="7">
        <f>'Utilisation Job Plan'!F21</f>
        <v/>
      </c>
      <c r="M6" s="2" t="inlineStr">
        <is>
          <t>Extra cases = current scenario cases - 2,729. Finance is scaled by source financial value per case. Income potential = extra cases x £2,000.</t>
        </is>
      </c>
    </row>
    <row r="7" ht="32" customHeight="1" s="22">
      <c r="A7" s="2" t="inlineStr">
        <is>
          <t>Utilisation - all job-plan sensitivity</t>
        </is>
      </c>
      <c r="B7" s="2" t="inlineStr">
        <is>
          <t>Adds the remaining 50% job-plan case component</t>
        </is>
      </c>
      <c r="C7" s="2" t="inlineStr">
        <is>
          <t>82% scenario plus job-plan component</t>
        </is>
      </c>
      <c r="D7" s="2" t="inlineStr">
        <is>
          <t>85% scenario plus job-plan component</t>
        </is>
      </c>
      <c r="E7" s="7">
        <f>'Utilisation Job Plan'!D20</f>
        <v/>
      </c>
      <c r="F7" s="7">
        <f>'Utilisation Job Plan'!D23</f>
        <v/>
      </c>
      <c r="G7" s="8">
        <f>'Utilisation Job Plan'!C20</f>
        <v/>
      </c>
      <c r="H7" s="8">
        <f>'Utilisation Job Plan'!C23</f>
        <v/>
      </c>
      <c r="I7" s="9">
        <f>'Utilisation Job Plan'!E20</f>
        <v/>
      </c>
      <c r="J7" s="9">
        <f>'Utilisation Job Plan'!E23</f>
        <v/>
      </c>
      <c r="K7" s="7">
        <f>'Utilisation Job Plan'!F20</f>
        <v/>
      </c>
      <c r="L7" s="7">
        <f>'Utilisation Job Plan'!F23</f>
        <v/>
      </c>
      <c r="M7" s="2" t="inlineStr">
        <is>
          <t>Extra cases = current scenario cases + 2,729. Finance is scaled by source financial value per case. Income potential = extra cases x £2,000.</t>
        </is>
      </c>
    </row>
    <row r="8" ht="32" customHeight="1" s="22">
      <c r="A8" s="24" t="inlineStr">
        <is>
          <t>HVLC dedicated lists</t>
        </is>
      </c>
      <c r="B8" s="24" t="inlineStr">
        <is>
          <t>Dedicated HVLC lists across priority specialties</t>
        </is>
      </c>
      <c r="C8" s="24" t="inlineStr">
        <is>
          <t>300 additional cases</t>
        </is>
      </c>
      <c r="D8" s="24" t="inlineStr">
        <is>
          <t>500 additional cases</t>
        </is>
      </c>
      <c r="E8" s="26">
        <f>HVLC!B10</f>
        <v/>
      </c>
      <c r="F8" s="26">
        <f>HVLC!C10</f>
        <v/>
      </c>
      <c r="G8" s="27">
        <f>HVLC!B6</f>
        <v/>
      </c>
      <c r="H8" s="27">
        <f>HVLC!C6</f>
        <v/>
      </c>
      <c r="I8" s="28">
        <f>HVLC!B7</f>
        <v/>
      </c>
      <c r="J8" s="28">
        <f>HVLC!C7</f>
        <v/>
      </c>
      <c r="K8" s="26">
        <f>HVLC!B11</f>
        <v/>
      </c>
      <c r="L8" s="26">
        <f>HVLC!C11</f>
        <v/>
      </c>
      <c r="M8" s="24" t="inlineStr">
        <is>
          <t>Gross benefit per case = GBP220k / 500. Income potential = additional HVLC cases x £2,000. No setup/investment cost deducted.</t>
        </is>
      </c>
    </row>
    <row r="9" ht="32" customHeight="1" s="22">
      <c r="A9" s="11" t="inlineStr">
        <is>
          <t>Day case rate improvement</t>
        </is>
      </c>
      <c r="B9" s="11" t="inlineStr">
        <is>
          <t>67.9% day case rate; backlog 23,086</t>
        </is>
      </c>
      <c r="C9" s="11" t="inlineStr">
        <is>
          <t>Move to 78.5%</t>
        </is>
      </c>
      <c r="D9" s="11" t="inlineStr">
        <is>
          <t>Move to 85.7%</t>
        </is>
      </c>
      <c r="E9" s="16">
        <f>'Day Case Rate'!B11</f>
        <v/>
      </c>
      <c r="F9" s="16">
        <f>'Day Case Rate'!C11</f>
        <v/>
      </c>
      <c r="G9" s="17">
        <f>'Day Case Rate'!B9</f>
        <v/>
      </c>
      <c r="H9" s="17">
        <f>'Day Case Rate'!C9</f>
        <v/>
      </c>
      <c r="I9" s="18">
        <f>'Day Case Rate'!B10</f>
        <v/>
      </c>
      <c r="J9" s="18">
        <f>'Day Case Rate'!C10</f>
        <v/>
      </c>
      <c r="K9" s="16">
        <f>'Day Case Rate'!B12</f>
        <v/>
      </c>
      <c r="L9" s="16">
        <f>'Day Case Rate'!C12</f>
        <v/>
      </c>
      <c r="M9" s="11" t="inlineStr">
        <is>
          <t>Cases = backlog x rate improvement. Efficiency = cases x GBP350. Income potential = shifted cases x £2,000 if released capacity is used for additional funded cases.</t>
        </is>
      </c>
    </row>
    <row r="10" ht="32" customHeight="1" s="22">
      <c r="A10" s="11" t="inlineStr">
        <is>
          <t>Theatre estate capacity</t>
        </is>
      </c>
      <c r="B10" s="11" t="inlineStr">
        <is>
          <t>78% estate utilisation; 3,361 sessions; 7,856 cases</t>
        </is>
      </c>
      <c r="C10" s="11" t="inlineStr">
        <is>
          <t>Move to 85%</t>
        </is>
      </c>
      <c r="D10" s="11" t="inlineStr">
        <is>
          <t>Move to 95%</t>
        </is>
      </c>
      <c r="E10" s="16">
        <f>'Estate Utilisation'!B11</f>
        <v/>
      </c>
      <c r="F10" s="16">
        <f>'Estate Utilisation'!C11</f>
        <v/>
      </c>
      <c r="G10" s="17">
        <f>'Estate Utilisation'!B12</f>
        <v/>
      </c>
      <c r="H10" s="17">
        <f>'Estate Utilisation'!C12</f>
        <v/>
      </c>
      <c r="I10" s="18">
        <f>'Estate Utilisation'!B13</f>
        <v/>
      </c>
      <c r="J10" s="18">
        <f>'Estate Utilisation'!C13</f>
        <v/>
      </c>
      <c r="K10" s="16">
        <f>'Estate Utilisation'!B14</f>
        <v/>
      </c>
      <c r="L10" s="16">
        <f>'Estate Utilisation'!C14</f>
        <v/>
      </c>
      <c r="M10" s="11" t="inlineStr">
        <is>
          <t>Extra sessions = sessions x ((target/current)-1). Efficiency = sessions x GBP500. Income potential = extra cases x £2,000.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pane ySplit="3" topLeftCell="A4" activePane="bottomLeft" state="frozen"/>
      <selection pane="bottomLeft" activeCell="C22" sqref="C22"/>
    </sheetView>
  </sheetViews>
  <sheetFormatPr baseColWidth="10" defaultColWidth="8.83203125" defaultRowHeight="15"/>
  <cols>
    <col width="46" customWidth="1" style="22" min="1" max="1"/>
    <col width="22" customWidth="1" style="22" min="2" max="2"/>
    <col width="23" customWidth="1" style="22" min="3" max="3"/>
    <col width="42" customWidth="1" style="22" min="4" max="4"/>
    <col width="26" customWidth="1" style="22" min="5" max="5"/>
    <col width="18" customWidth="1" style="22" min="6" max="6"/>
    <col width="46" customWidth="1" style="22" min="7" max="7"/>
  </cols>
  <sheetData>
    <row r="1" ht="22" customHeight="1" s="22">
      <c r="A1" s="1" t="inlineStr">
        <is>
          <t>Utilisation and Job-Plan Workings</t>
        </is>
      </c>
      <c r="B1" s="2" t="n"/>
      <c r="C1" s="2" t="n"/>
      <c r="D1" s="2" t="n"/>
      <c r="E1" s="2" t="n"/>
      <c r="F1" s="2" t="n"/>
      <c r="G1" s="2" t="n"/>
    </row>
    <row r="2" ht="32" customHeight="1" s="22">
      <c r="A2" s="3" t="inlineStr">
        <is>
          <t>Current range plus no-job-plan and all-job-plan sensitivities.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16" customHeight="1" s="22">
      <c r="A4" s="10" t="inlineStr">
        <is>
          <t>Step</t>
        </is>
      </c>
      <c r="B4" s="10" t="inlineStr">
        <is>
          <t>Low scenario</t>
        </is>
      </c>
      <c r="C4" s="10" t="inlineStr">
        <is>
          <t>High scenario</t>
        </is>
      </c>
      <c r="D4" s="10" t="inlineStr">
        <is>
          <t>Simple formula / source</t>
        </is>
      </c>
      <c r="E4" s="4" t="n"/>
      <c r="F4" s="4" t="n"/>
      <c r="G4" s="4" t="n"/>
    </row>
    <row r="5" ht="16" customHeight="1" s="22">
      <c r="A5" s="2" t="inlineStr">
        <is>
          <t>Backlog baseline</t>
        </is>
      </c>
      <c r="B5" s="8">
        <f>Inputs!B5</f>
        <v/>
      </c>
      <c r="C5" s="8">
        <f>Inputs!B5</f>
        <v/>
      </c>
      <c r="D5" s="2" t="inlineStr">
        <is>
          <t>Input backlog</t>
        </is>
      </c>
      <c r="E5" s="2" t="n"/>
      <c r="F5" s="2" t="n"/>
      <c r="G5" s="2" t="n"/>
    </row>
    <row r="6" ht="16" customHeight="1" s="22">
      <c r="A6" s="2" t="inlineStr">
        <is>
          <t>Extra cases - current scenario</t>
        </is>
      </c>
      <c r="B6" s="8">
        <f>Inputs!B7</f>
        <v/>
      </c>
      <c r="C6" s="8">
        <f>Inputs!B8</f>
        <v/>
      </c>
      <c r="D6" s="2" t="inlineStr">
        <is>
          <t>Source scenario extra cases</t>
        </is>
      </c>
      <c r="E6" s="2" t="n"/>
      <c r="F6" s="2" t="n"/>
      <c r="G6" s="2" t="n"/>
    </row>
    <row r="7" ht="16" customHeight="1" s="22">
      <c r="A7" s="2" t="inlineStr">
        <is>
          <t>Financial efficiency - current scenario</t>
        </is>
      </c>
      <c r="B7" s="7">
        <f>Inputs!B9</f>
        <v/>
      </c>
      <c r="C7" s="7">
        <f>Inputs!B10</f>
        <v/>
      </c>
      <c r="D7" s="2" t="inlineStr">
        <is>
          <t>Source financial efficiency values</t>
        </is>
      </c>
      <c r="E7" s="2" t="n"/>
      <c r="F7" s="2" t="n"/>
      <c r="G7" s="2" t="n"/>
    </row>
    <row r="8" ht="16" customHeight="1" s="22">
      <c r="A8" s="2" t="inlineStr">
        <is>
          <t>Financial value per case</t>
        </is>
      </c>
      <c r="B8" s="7">
        <f>B7/B6</f>
        <v/>
      </c>
      <c r="C8" s="7">
        <f>C7/C6</f>
        <v/>
      </c>
      <c r="D8" s="2" t="inlineStr">
        <is>
          <t>Financial efficiency / extra cases</t>
        </is>
      </c>
      <c r="E8" s="2" t="n"/>
      <c r="F8" s="2" t="n"/>
      <c r="G8" s="2" t="n"/>
    </row>
    <row r="9" ht="16" customHeight="1" s="22">
      <c r="A9" s="2" t="inlineStr">
        <is>
          <t>Waiting list reduction %</t>
        </is>
      </c>
      <c r="B9" s="9">
        <f>B6/B5</f>
        <v/>
      </c>
      <c r="C9" s="9">
        <f>C6/C5</f>
        <v/>
      </c>
      <c r="D9" s="2" t="inlineStr">
        <is>
          <t>Extra cases / backlog</t>
        </is>
      </c>
      <c r="E9" s="2" t="n"/>
      <c r="F9" s="2" t="n"/>
      <c r="G9" s="2" t="n"/>
    </row>
    <row r="10" ht="16" customHeight="1" s="22">
      <c r="A10" s="2" t="inlineStr">
        <is>
          <t>Income potential</t>
        </is>
      </c>
      <c r="B10" s="7">
        <f>B6*Inputs!B6</f>
        <v/>
      </c>
      <c r="C10" s="7">
        <f>C6*Inputs!B6</f>
        <v/>
      </c>
      <c r="D10" s="2" t="inlineStr">
        <is>
          <t>Extra cases x £2,000 income per additional case assumption</t>
        </is>
      </c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 ht="16" customHeight="1" s="22">
      <c r="A13" s="10" t="inlineStr">
        <is>
          <t>Scenario</t>
        </is>
      </c>
      <c r="B13" s="10" t="inlineStr">
        <is>
          <t>Variant</t>
        </is>
      </c>
      <c r="C13" s="10" t="inlineStr">
        <is>
          <t>Extra cases</t>
        </is>
      </c>
      <c r="D13" s="10" t="inlineStr">
        <is>
          <t>Financial efficiency</t>
        </is>
      </c>
      <c r="E13" s="10" t="inlineStr">
        <is>
          <t>Waiting list reduction %</t>
        </is>
      </c>
      <c r="F13" s="10" t="inlineStr">
        <is>
          <t>Income potential</t>
        </is>
      </c>
      <c r="G13" s="10" t="inlineStr">
        <is>
          <t>Formula / note</t>
        </is>
      </c>
    </row>
    <row r="14" ht="16" customHeight="1" s="22">
      <c r="A14" s="2" t="inlineStr">
        <is>
          <t>82% utilisation + 20% HVLC</t>
        </is>
      </c>
      <c r="B14" s="2" t="inlineStr">
        <is>
          <t>No job-plan cases</t>
        </is>
      </c>
      <c r="C14" s="8">
        <f>Inputs!B7-Inputs!B11</f>
        <v/>
      </c>
      <c r="D14" s="7">
        <f>C14*(Inputs!B9/Inputs!B7)</f>
        <v/>
      </c>
      <c r="E14" s="9">
        <f>C14/Inputs!B5</f>
        <v/>
      </c>
      <c r="F14" s="7">
        <f>C14*Inputs!B6</f>
        <v/>
      </c>
      <c r="G14" s="2" t="inlineStr">
        <is>
          <t>Current low scenario less 2,729 job-plan cases</t>
        </is>
      </c>
    </row>
    <row r="15" ht="16" customHeight="1" s="22">
      <c r="A15" s="2" t="inlineStr">
        <is>
          <t>82% utilisation + 20% HVLC</t>
        </is>
      </c>
      <c r="B15" s="2" t="inlineStr">
        <is>
          <t>Current 50% job-plan</t>
        </is>
      </c>
      <c r="C15" s="8">
        <f>Inputs!B7</f>
        <v/>
      </c>
      <c r="D15" s="7">
        <f>Inputs!B9</f>
        <v/>
      </c>
      <c r="E15" s="9">
        <f>C15/Inputs!B5</f>
        <v/>
      </c>
      <c r="F15" s="7">
        <f>C15*Inputs!B6</f>
        <v/>
      </c>
      <c r="G15" s="2" t="inlineStr">
        <is>
          <t>Source current low scenario</t>
        </is>
      </c>
    </row>
    <row r="16" ht="16" customHeight="1" s="22">
      <c r="A16" s="2" t="inlineStr">
        <is>
          <t>82% utilisation + 20% HVLC</t>
        </is>
      </c>
      <c r="B16" s="2" t="inlineStr">
        <is>
          <t>All job-plan cases</t>
        </is>
      </c>
      <c r="C16" s="8">
        <f>Inputs!B7+Inputs!B11</f>
        <v/>
      </c>
      <c r="D16" s="7">
        <f>C16*(Inputs!B9/Inputs!B7)</f>
        <v/>
      </c>
      <c r="E16" s="9">
        <f>C16/Inputs!B5</f>
        <v/>
      </c>
      <c r="F16" s="7">
        <f>C16*Inputs!B6</f>
        <v/>
      </c>
      <c r="G16" s="2" t="inlineStr">
        <is>
          <t>Current low scenario plus 2,729 job-plan cases</t>
        </is>
      </c>
    </row>
    <row r="17" ht="16" customHeight="1" s="22">
      <c r="A17" s="2" t="inlineStr">
        <is>
          <t>85% utilisation + 30% HVLC</t>
        </is>
      </c>
      <c r="B17" s="2" t="inlineStr">
        <is>
          <t>No job-plan cases</t>
        </is>
      </c>
      <c r="C17" s="8">
        <f>Inputs!B8-Inputs!B11</f>
        <v/>
      </c>
      <c r="D17" s="7">
        <f>C17*(Inputs!B10/Inputs!B8)</f>
        <v/>
      </c>
      <c r="E17" s="9">
        <f>C17/Inputs!B5</f>
        <v/>
      </c>
      <c r="F17" s="7">
        <f>C17*Inputs!B6</f>
        <v/>
      </c>
      <c r="G17" s="2" t="inlineStr">
        <is>
          <t>Current high scenario less 2,729 job-plan cases</t>
        </is>
      </c>
    </row>
    <row r="18" ht="16" customHeight="1" s="22">
      <c r="A18" s="2" t="inlineStr">
        <is>
          <t>85% utilisation + 30% HVLC</t>
        </is>
      </c>
      <c r="B18" s="2" t="inlineStr">
        <is>
          <t>Current 50% job-plan</t>
        </is>
      </c>
      <c r="C18" s="8">
        <f>Inputs!B8</f>
        <v/>
      </c>
      <c r="D18" s="7">
        <f>Inputs!B10</f>
        <v/>
      </c>
      <c r="E18" s="9">
        <f>C18/Inputs!B5</f>
        <v/>
      </c>
      <c r="F18" s="7">
        <f>C18*Inputs!B6</f>
        <v/>
      </c>
      <c r="G18" s="2" t="inlineStr">
        <is>
          <t>Source current high scenario</t>
        </is>
      </c>
    </row>
    <row r="19" ht="16" customHeight="1" s="22">
      <c r="A19" s="2" t="inlineStr">
        <is>
          <t>85% utilisation + 30% HVLC</t>
        </is>
      </c>
      <c r="B19" s="2" t="inlineStr">
        <is>
          <t>All job-plan cases</t>
        </is>
      </c>
      <c r="C19" s="8">
        <f>Inputs!B8+Inputs!B11</f>
        <v/>
      </c>
      <c r="D19" s="7">
        <f>C19*(Inputs!B10/Inputs!B8)</f>
        <v/>
      </c>
      <c r="E19" s="9">
        <f>C19/Inputs!B5</f>
        <v/>
      </c>
      <c r="F19" s="7">
        <f>C19*Inputs!B6</f>
        <v/>
      </c>
      <c r="G19" s="2" t="inlineStr">
        <is>
          <t>Current high scenario plus 2,729 job-plan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:D1"/>
    </sheetView>
  </sheetViews>
  <sheetFormatPr baseColWidth="10" defaultColWidth="8.83203125" defaultRowHeight="15"/>
  <cols>
    <col width="38" customWidth="1" style="22" min="1" max="1"/>
    <col width="18" customWidth="1" style="22" min="2" max="3"/>
    <col width="70" customWidth="1" style="22" min="4" max="4"/>
  </cols>
  <sheetData>
    <row r="1">
      <c r="A1" s="21" t="inlineStr">
        <is>
          <t>Day Case Rate Workings</t>
        </is>
      </c>
    </row>
    <row r="2">
      <c r="A2" s="23" t="inlineStr">
        <is>
          <t>Additional shifted cases = backlog x (target rate - current rate).</t>
        </is>
      </c>
    </row>
    <row r="3"/>
    <row r="4" ht="16" customHeight="1" s="22">
      <c r="A4" s="15" t="inlineStr">
        <is>
          <t>Step</t>
        </is>
      </c>
      <c r="B4" s="15" t="inlineStr">
        <is>
          <t>Low target</t>
        </is>
      </c>
      <c r="C4" s="15" t="inlineStr">
        <is>
          <t>High target</t>
        </is>
      </c>
      <c r="D4" s="15" t="inlineStr">
        <is>
          <t>Simple formula / note</t>
        </is>
      </c>
    </row>
    <row r="5" ht="16" customHeight="1" s="22">
      <c r="A5" s="11" t="inlineStr">
        <is>
          <t>Backlog baseline</t>
        </is>
      </c>
      <c r="B5" s="17">
        <f>Inputs!B5</f>
        <v/>
      </c>
      <c r="C5" s="17">
        <f>Inputs!B5</f>
        <v/>
      </c>
      <c r="D5" s="11" t="inlineStr">
        <is>
          <t>Input backlog baseline</t>
        </is>
      </c>
    </row>
    <row r="6" ht="16" customHeight="1" s="22">
      <c r="A6" s="11" t="inlineStr">
        <is>
          <t>Current day case rate</t>
        </is>
      </c>
      <c r="B6" s="18">
        <f>Inputs!B16</f>
        <v/>
      </c>
      <c r="C6" s="18">
        <f>Inputs!B16</f>
        <v/>
      </c>
      <c r="D6" s="11" t="inlineStr">
        <is>
          <t>Baseline rate</t>
        </is>
      </c>
    </row>
    <row r="7" ht="16" customHeight="1" s="22">
      <c r="A7" s="11" t="inlineStr">
        <is>
          <t>Target day case rate</t>
        </is>
      </c>
      <c r="B7" s="18">
        <f>Inputs!B17</f>
        <v/>
      </c>
      <c r="C7" s="18">
        <f>Inputs!B18</f>
        <v/>
      </c>
      <c r="D7" s="11" t="inlineStr">
        <is>
          <t>Low and high target rates</t>
        </is>
      </c>
    </row>
    <row r="8" ht="16" customHeight="1" s="22">
      <c r="A8" s="11" t="inlineStr">
        <is>
          <t>Rate improvement</t>
        </is>
      </c>
      <c r="B8" s="18">
        <f>B7-B6</f>
        <v/>
      </c>
      <c r="C8" s="18">
        <f>C7-C6</f>
        <v/>
      </c>
      <c r="D8" s="11" t="inlineStr">
        <is>
          <t>Target rate - current rate</t>
        </is>
      </c>
    </row>
    <row r="9" ht="16" customHeight="1" s="22">
      <c r="A9" s="11" t="inlineStr">
        <is>
          <t>Additional shifted cases</t>
        </is>
      </c>
      <c r="B9" s="17">
        <f>B5*B8</f>
        <v/>
      </c>
      <c r="C9" s="17">
        <f>C5*C8</f>
        <v/>
      </c>
      <c r="D9" s="11" t="inlineStr">
        <is>
          <t>Backlog x rate improvement</t>
        </is>
      </c>
    </row>
    <row r="10" ht="16" customHeight="1" s="22">
      <c r="A10" s="11" t="inlineStr">
        <is>
          <t>Waiting list reduction %</t>
        </is>
      </c>
      <c r="B10" s="18">
        <f>B9/B5</f>
        <v/>
      </c>
      <c r="C10" s="18">
        <f>C9/C5</f>
        <v/>
      </c>
      <c r="D10" s="11" t="inlineStr">
        <is>
          <t>Additional cases / backlog</t>
        </is>
      </c>
    </row>
    <row r="11" ht="16" customHeight="1" s="22">
      <c r="A11" s="11" t="inlineStr">
        <is>
          <t>Financial efficiency opportunity</t>
        </is>
      </c>
      <c r="B11" s="16">
        <f>B9*Inputs!B19</f>
        <v/>
      </c>
      <c r="C11" s="16">
        <f>C9*Inputs!B19</f>
        <v/>
      </c>
      <c r="D11" s="11" t="inlineStr">
        <is>
          <t>Additional cases x GBP350</t>
        </is>
      </c>
    </row>
    <row r="12" ht="32" customHeight="1" s="22">
      <c r="A12" s="11" t="inlineStr">
        <is>
          <t>Income potential if capacity reused</t>
        </is>
      </c>
      <c r="B12" s="16">
        <f>B9*Inputs!B6</f>
        <v/>
      </c>
      <c r="C12" s="16">
        <f>C9*Inputs!B6</f>
        <v/>
      </c>
      <c r="D12" s="11" t="inlineStr">
        <is>
          <t>Additional cases x £2,000. Do not add to efficiency unless Finance agrees capacity creates funded extra activity.</t>
        </is>
      </c>
    </row>
    <row r="13" ht="16" customHeight="1" s="22">
      <c r="A13" s="11" t="inlineStr">
        <is>
          <t>Closing backlog</t>
        </is>
      </c>
      <c r="B13" s="17">
        <f>B5-B9</f>
        <v/>
      </c>
      <c r="C13" s="17">
        <f>C5-C9</f>
        <v/>
      </c>
      <c r="D13" s="11" t="inlineStr">
        <is>
          <t>Backlog - additional shifted cases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:D1"/>
    </sheetView>
  </sheetViews>
  <sheetFormatPr baseColWidth="10" defaultColWidth="8.83203125" defaultRowHeight="15"/>
  <cols>
    <col width="38" customWidth="1" style="22" min="1" max="1"/>
    <col width="18" customWidth="1" style="22" min="2" max="3"/>
    <col width="70" customWidth="1" style="22" min="4" max="4"/>
  </cols>
  <sheetData>
    <row r="1">
      <c r="A1" s="21" t="inlineStr">
        <is>
          <t>Theatre Estate Capacity Workings</t>
        </is>
      </c>
    </row>
    <row r="2">
      <c r="A2" s="23" t="inlineStr">
        <is>
          <t>Additional sessions = baseline sessions x ((target utilisation / current utilisation) - 1).</t>
        </is>
      </c>
    </row>
    <row r="3"/>
    <row r="4" ht="16" customHeight="1" s="22">
      <c r="A4" s="15" t="inlineStr">
        <is>
          <t>Step</t>
        </is>
      </c>
      <c r="B4" s="15" t="inlineStr">
        <is>
          <t>Low target</t>
        </is>
      </c>
      <c r="C4" s="15" t="inlineStr">
        <is>
          <t>High target</t>
        </is>
      </c>
      <c r="D4" s="15" t="inlineStr">
        <is>
          <t>Simple formula / note</t>
        </is>
      </c>
    </row>
    <row r="5" ht="16" customHeight="1" s="22">
      <c r="A5" s="11" t="inlineStr">
        <is>
          <t>Current estate utilisation</t>
        </is>
      </c>
      <c r="B5" s="18">
        <f>Inputs!B20</f>
        <v/>
      </c>
      <c r="C5" s="18">
        <f>Inputs!B20</f>
        <v/>
      </c>
      <c r="D5" s="11" t="inlineStr">
        <is>
          <t>Input current utilisation</t>
        </is>
      </c>
    </row>
    <row r="6" ht="16" customHeight="1" s="22">
      <c r="A6" s="11" t="inlineStr">
        <is>
          <t>Target estate utilisation</t>
        </is>
      </c>
      <c r="B6" s="18">
        <f>Inputs!B21</f>
        <v/>
      </c>
      <c r="C6" s="18">
        <f>Inputs!B22</f>
        <v/>
      </c>
      <c r="D6" s="11" t="inlineStr">
        <is>
          <t>Low and high targets</t>
        </is>
      </c>
    </row>
    <row r="7" ht="16" customHeight="1" s="22">
      <c r="A7" s="11" t="inlineStr">
        <is>
          <t>Baseline elective sessions</t>
        </is>
      </c>
      <c r="B7" s="17">
        <f>Inputs!B23</f>
        <v/>
      </c>
      <c r="C7" s="17">
        <f>Inputs!B23</f>
        <v/>
      </c>
      <c r="D7" s="11" t="inlineStr">
        <is>
          <t>Input baseline sessions</t>
        </is>
      </c>
    </row>
    <row r="8" ht="16" customHeight="1" s="22">
      <c r="A8" s="11" t="inlineStr">
        <is>
          <t>Baseline elective cases</t>
        </is>
      </c>
      <c r="B8" s="17">
        <f>Inputs!B24</f>
        <v/>
      </c>
      <c r="C8" s="17">
        <f>Inputs!B24</f>
        <v/>
      </c>
      <c r="D8" s="11" t="inlineStr">
        <is>
          <t>Input baseline cases</t>
        </is>
      </c>
    </row>
    <row r="9" ht="16" customHeight="1" s="22">
      <c r="A9" s="11" t="inlineStr">
        <is>
          <t>Average cases per list</t>
        </is>
      </c>
      <c r="B9" s="19">
        <f>B8/B7</f>
        <v/>
      </c>
      <c r="C9" s="19">
        <f>C8/C7</f>
        <v/>
      </c>
      <c r="D9" s="11" t="inlineStr">
        <is>
          <t>Baseline cases / baseline sessions</t>
        </is>
      </c>
    </row>
    <row r="10" ht="16" customHeight="1" s="22">
      <c r="A10" s="11" t="inlineStr">
        <is>
          <t>Additional sessions</t>
        </is>
      </c>
      <c r="B10" s="17">
        <f>B7*((B6/B5)-1)</f>
        <v/>
      </c>
      <c r="C10" s="17">
        <f>C7*((C6/C5)-1)</f>
        <v/>
      </c>
      <c r="D10" s="11" t="inlineStr">
        <is>
          <t>Sessions x ((target/current)-1)</t>
        </is>
      </c>
    </row>
    <row r="11" ht="16" customHeight="1" s="22">
      <c r="A11" s="11" t="inlineStr">
        <is>
          <t>Financial efficiency opportunity</t>
        </is>
      </c>
      <c r="B11" s="16">
        <f>B10*Inputs!B25</f>
        <v/>
      </c>
      <c r="C11" s="16">
        <f>C10*Inputs!B25</f>
        <v/>
      </c>
      <c r="D11" s="11" t="inlineStr">
        <is>
          <t>Additional sessions x GBP500</t>
        </is>
      </c>
    </row>
    <row r="12" ht="16" customHeight="1" s="22">
      <c r="A12" s="11" t="inlineStr">
        <is>
          <t>Waiting list impact cases</t>
        </is>
      </c>
      <c r="B12" s="17">
        <f>B10*B9</f>
        <v/>
      </c>
      <c r="C12" s="17">
        <f>C10*C9</f>
        <v/>
      </c>
      <c r="D12" s="11" t="inlineStr">
        <is>
          <t>Additional sessions x average cases per list</t>
        </is>
      </c>
    </row>
    <row r="13" ht="16" customHeight="1" s="22">
      <c r="A13" s="11" t="inlineStr">
        <is>
          <t>Waiting list reduction %</t>
        </is>
      </c>
      <c r="B13" s="18">
        <f>B12/Inputs!B5</f>
        <v/>
      </c>
      <c r="C13" s="18">
        <f>C12/Inputs!B5</f>
        <v/>
      </c>
      <c r="D13" s="11" t="inlineStr">
        <is>
          <t>Waiting list impact / backlog</t>
        </is>
      </c>
    </row>
    <row r="14" ht="16" customHeight="1" s="22">
      <c r="A14" s="11" t="inlineStr">
        <is>
          <t>Income potential</t>
        </is>
      </c>
      <c r="B14" s="16">
        <f>B12*Inputs!B6</f>
        <v/>
      </c>
      <c r="C14" s="16">
        <f>C12*Inputs!B6</f>
        <v/>
      </c>
      <c r="D14" s="11" t="inlineStr">
        <is>
          <t>Waiting list impact cases x £2,000</t>
        </is>
      </c>
    </row>
    <row r="15" ht="16" customHeight="1" s="22">
      <c r="A15" s="11" t="inlineStr">
        <is>
          <t>Closing backlog</t>
        </is>
      </c>
      <c r="B15" s="17">
        <f>Inputs!B5-B12</f>
        <v/>
      </c>
      <c r="C15" s="17">
        <f>Inputs!B5-C12</f>
        <v/>
      </c>
      <c r="D15" s="11" t="inlineStr">
        <is>
          <t>Backlog - waiting list impact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5" customWidth="1" style="22" min="1" max="1"/>
    <col width="24" customWidth="1" style="22" min="2" max="3"/>
    <col width="46" customWidth="1" style="22" min="4" max="4"/>
  </cols>
  <sheetData>
    <row r="1" ht="22" customHeight="1" s="22">
      <c r="A1" s="1" t="inlineStr">
        <is>
          <t>HVLC Workings</t>
        </is>
      </c>
      <c r="B1" s="2" t="n"/>
      <c r="C1" s="2" t="n"/>
      <c r="D1" s="2" t="n"/>
    </row>
    <row r="2" ht="16" customHeight="1" s="22">
      <c r="A2" s="3" t="inlineStr">
        <is>
          <t>Dedicated high-volume low-complexity lists.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16" customHeight="1" s="22">
      <c r="A4" s="10" t="inlineStr">
        <is>
          <t>Step</t>
        </is>
      </c>
      <c r="B4" s="10" t="inlineStr">
        <is>
          <t>Low scenario</t>
        </is>
      </c>
      <c r="C4" s="10" t="inlineStr">
        <is>
          <t>High scenario</t>
        </is>
      </c>
      <c r="D4" s="10" t="inlineStr">
        <is>
          <t>Simple formula / source</t>
        </is>
      </c>
    </row>
    <row r="5" ht="16" customHeight="1" s="22">
      <c r="A5" s="2" t="inlineStr">
        <is>
          <t>Backlog baseline</t>
        </is>
      </c>
      <c r="B5" s="8">
        <f>Inputs!B5</f>
        <v/>
      </c>
      <c r="C5" s="8">
        <f>Inputs!B5</f>
        <v/>
      </c>
      <c r="D5" s="2" t="inlineStr">
        <is>
          <t>Input backlog</t>
        </is>
      </c>
    </row>
    <row r="6" ht="16" customHeight="1" s="22">
      <c r="A6" s="2" t="inlineStr">
        <is>
          <t>Additional cases</t>
        </is>
      </c>
      <c r="B6" s="8">
        <f>Inputs!B12</f>
        <v/>
      </c>
      <c r="C6" s="8">
        <f>Inputs!B13</f>
        <v/>
      </c>
      <c r="D6" s="2" t="inlineStr">
        <is>
          <t>300-500 additional cases</t>
        </is>
      </c>
    </row>
    <row r="7" ht="16" customHeight="1" s="22">
      <c r="A7" s="2" t="inlineStr">
        <is>
          <t>Waiting list reduction %</t>
        </is>
      </c>
      <c r="B7" s="9">
        <f>B6/B5</f>
        <v/>
      </c>
      <c r="C7" s="9">
        <f>C6/C5</f>
        <v/>
      </c>
      <c r="D7" s="2" t="inlineStr">
        <is>
          <t>Additional cases / backlog</t>
        </is>
      </c>
    </row>
    <row r="8" ht="16" customHeight="1" s="22">
      <c r="A8" s="2" t="inlineStr">
        <is>
          <t>Gross benefit per case</t>
        </is>
      </c>
      <c r="B8" s="7">
        <f>Inputs!B14/Inputs!B13</f>
        <v/>
      </c>
      <c r="C8" s="7">
        <f>Inputs!B14/Inputs!B13</f>
        <v/>
      </c>
      <c r="D8" s="2" t="inlineStr">
        <is>
          <t>£220k / 500 cases</t>
        </is>
      </c>
    </row>
    <row r="9" ht="16" customHeight="1" s="22">
      <c r="A9" s="2" t="inlineStr">
        <is>
          <t>Gross financial benefit</t>
        </is>
      </c>
      <c r="B9" s="7">
        <f>B6*B8</f>
        <v/>
      </c>
      <c r="C9" s="7">
        <f>C6*C8</f>
        <v/>
      </c>
      <c r="D9" s="2" t="inlineStr">
        <is>
          <t>Additional cases x gross benefit per case</t>
        </is>
      </c>
    </row>
    <row r="10" ht="16" customHeight="1" s="22">
      <c r="A10" s="11" t="inlineStr">
        <is>
          <t>Financial efficiency opportunity</t>
        </is>
      </c>
      <c r="B10" s="20">
        <f>B9</f>
        <v/>
      </c>
      <c r="C10" s="20">
        <f>C9</f>
        <v/>
      </c>
      <c r="D10" s="11" t="inlineStr">
        <is>
          <t>Gross benefit only; setup/investment cost removed</t>
        </is>
      </c>
    </row>
    <row r="11" ht="16" customHeight="1" s="22">
      <c r="A11" s="24" t="inlineStr">
        <is>
          <t>Income potential</t>
        </is>
      </c>
      <c r="B11" s="29">
        <f>B6*Inputs!B26</f>
        <v/>
      </c>
      <c r="C11" s="29">
        <f>C6*Inputs!B26</f>
        <v/>
      </c>
      <c r="D11" s="24" t="inlineStr">
        <is>
          <t>Additional cases x £2,000 income per additional case assumption</t>
        </is>
      </c>
    </row>
    <row r="12" ht="16" customHeight="1" s="22">
      <c r="A12" s="2" t="inlineStr">
        <is>
          <t>Closing backlog</t>
        </is>
      </c>
      <c r="B12" s="8">
        <f>B5-B6</f>
        <v/>
      </c>
      <c r="C12" s="8">
        <f>C5-C6</f>
        <v/>
      </c>
      <c r="D12" s="2" t="inlineStr">
        <is>
          <t>Backlog - additional cases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34" customWidth="1" style="22" min="1" max="1"/>
    <col width="28" customWidth="1" style="22" min="2" max="2"/>
    <col width="84" customWidth="1" style="22" min="3" max="3"/>
  </cols>
  <sheetData>
    <row r="1" ht="22" customHeight="1" s="22">
      <c r="A1" s="1" t="inlineStr">
        <is>
          <t>Initiative Map</t>
        </is>
      </c>
      <c r="B1" s="2" t="n"/>
      <c r="C1" s="2" t="n"/>
    </row>
    <row r="2" ht="32" customHeight="1" s="22">
      <c r="A2" s="3" t="inlineStr">
        <is>
          <t>Shows what is quantified separately and what is a supporting driver.</t>
        </is>
      </c>
      <c r="B2" s="2" t="n"/>
      <c r="C2" s="2" t="n"/>
    </row>
    <row r="3">
      <c r="A3" s="2" t="n"/>
      <c r="B3" s="2" t="n"/>
      <c r="C3" s="2" t="n"/>
    </row>
    <row r="4" ht="16" customHeight="1" s="22">
      <c r="A4" s="10" t="inlineStr">
        <is>
          <t>Initiative / driver</t>
        </is>
      </c>
      <c r="B4" s="10" t="inlineStr">
        <is>
          <t>Treatment in workbook</t>
        </is>
      </c>
      <c r="C4" s="10" t="inlineStr">
        <is>
          <t>Reason</t>
        </is>
      </c>
    </row>
    <row r="5" ht="16" customHeight="1" s="22">
      <c r="A5" s="2" t="inlineStr">
        <is>
          <t>Utilisation &amp; scheduling</t>
        </is>
      </c>
      <c r="B5" s="2" t="inlineStr">
        <is>
          <t>Quantified</t>
        </is>
      </c>
      <c r="C5" s="2" t="inlineStr">
        <is>
          <t>Uses shared scenario extra cases and financial values.</t>
        </is>
      </c>
    </row>
    <row r="6" ht="32" customHeight="1" s="22">
      <c r="A6" s="2" t="inlineStr">
        <is>
          <t>Job-plan delivery sensitivity</t>
        </is>
      </c>
      <c r="B6" s="2" t="inlineStr">
        <is>
          <t>Quantified</t>
        </is>
      </c>
      <c r="C6" s="2" t="inlineStr">
        <is>
          <t>Uses the 2,729 case 50% job-plan component to show no-job-plan and all-job-plan versions.</t>
        </is>
      </c>
    </row>
    <row r="7" ht="32" customHeight="1" s="22">
      <c r="A7" s="2" t="inlineStr">
        <is>
          <t>HVLC dedicated lists</t>
        </is>
      </c>
      <c r="B7" s="2" t="inlineStr">
        <is>
          <t>Quantified separately</t>
        </is>
      </c>
      <c r="C7" s="2" t="inlineStr">
        <is>
          <t>Uses 300-500 additional cases and £220k gross benefit at 500 cases.</t>
        </is>
      </c>
    </row>
    <row r="8" ht="32" customHeight="1" s="22">
      <c r="A8" s="2" t="inlineStr">
        <is>
          <t>Late starts / Golden Patient</t>
        </is>
      </c>
      <c r="B8" s="2" t="inlineStr">
        <is>
          <t>Supporting driver only</t>
        </is>
      </c>
      <c r="C8" s="2" t="inlineStr">
        <is>
          <t>A route to utilisation improvement; not separately monetised to avoid double counting.</t>
        </is>
      </c>
    </row>
    <row r="9" ht="32" customHeight="1" s="22">
      <c r="A9" s="2" t="inlineStr">
        <is>
          <t>Booking rules &amp; case durations</t>
        </is>
      </c>
      <c r="B9" s="2" t="inlineStr">
        <is>
          <t>Supporting driver only</t>
        </is>
      </c>
      <c r="C9" s="2" t="inlineStr">
        <is>
          <t>A route to utilisation/HVLC throughput; not separately monetised to avoid double counting.</t>
        </is>
      </c>
    </row>
    <row r="10" ht="48" customHeight="1" s="22">
      <c r="A10" s="2" t="inlineStr">
        <is>
          <t>Patient readiness &amp; cancellations</t>
        </is>
      </c>
      <c r="B10" s="2" t="inlineStr">
        <is>
          <t>Supporting driver only</t>
        </is>
      </c>
      <c r="C10" s="2" t="inlineStr">
        <is>
          <t>A route to utilisation improvement; can be monetised separately only with agreed cancellation baseline and case impact.</t>
        </is>
      </c>
    </row>
    <row r="11" ht="16" customHeight="1" s="22">
      <c r="A11" s="11" t="inlineStr">
        <is>
          <t>Day case rate improvement</t>
        </is>
      </c>
      <c r="B11" s="11" t="inlineStr">
        <is>
          <t>Quantified separately</t>
        </is>
      </c>
      <c r="C11" s="11" t="inlineStr">
        <is>
          <t>Uses 67.9% baseline, 78.5%-85.7% target range, backlog x rate improvement.</t>
        </is>
      </c>
    </row>
    <row r="12" ht="16" customHeight="1" s="22">
      <c r="A12" s="11" t="inlineStr">
        <is>
          <t>Theatre estate capacity</t>
        </is>
      </c>
      <c r="B12" s="11" t="inlineStr">
        <is>
          <t>Quantified separately</t>
        </is>
      </c>
      <c r="C12" s="11" t="inlineStr">
        <is>
          <t>Uses estate utilisation uplift to estimate additional sessions and case impact.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22" min="1" max="1"/>
    <col width="110" customWidth="1" style="22" min="2" max="2"/>
  </cols>
  <sheetData>
    <row r="1" ht="22" customHeight="1" s="22">
      <c r="A1" s="1" t="inlineStr">
        <is>
          <t>Notes</t>
        </is>
      </c>
      <c r="B1" s="2" t="n"/>
    </row>
    <row r="2" ht="16" customHeight="1" s="22">
      <c r="A2" s="3" t="inlineStr">
        <is>
          <t>Simple definitions and caveats.</t>
        </is>
      </c>
      <c r="B2" s="2" t="n"/>
    </row>
    <row r="3">
      <c r="A3" s="2" t="n"/>
      <c r="B3" s="2" t="n"/>
    </row>
    <row r="4" ht="16" customHeight="1" s="22">
      <c r="A4" s="10" t="inlineStr">
        <is>
          <t>Topic</t>
        </is>
      </c>
      <c r="B4" s="10" t="inlineStr">
        <is>
          <t>Note</t>
        </is>
      </c>
    </row>
    <row r="5" ht="32" customHeight="1" s="22">
      <c r="A5" s="2" t="inlineStr">
        <is>
          <t>Backlog denominator</t>
        </is>
      </c>
      <c r="B5" s="2" t="inlineStr">
        <is>
          <t>Waiting-list reduction percentages use the 23,086 surgical RTT incomplete backlog baseline.</t>
        </is>
      </c>
    </row>
    <row r="6" ht="48" customHeight="1" s="22">
      <c r="A6" s="2" t="inlineStr">
        <is>
          <t>Financial efficiency</t>
        </is>
      </c>
      <c r="B6" s="2" t="inlineStr">
        <is>
          <t>For utilisation, financial values are source values from the shared table. For HVLC, gross benefit is used with no setup/investment deduction. Day case and estate use the simple formulas shown on their tabs.</t>
        </is>
      </c>
    </row>
    <row r="7" ht="64" customHeight="1" s="22">
      <c r="A7" s="2" t="inlineStr">
        <is>
          <t>Income potential</t>
        </is>
      </c>
      <c r="B7" s="2" t="inlineStr">
        <is>
          <t>Calculated as additional cases x £2,000 across theatre opportunity rows. This is a separate gross income lens and should not be added to financial efficiency unless Finance confirms it is additional funded activity.</t>
        </is>
      </c>
    </row>
    <row r="8" ht="64" customHeight="1" s="22">
      <c r="A8" s="2" t="inlineStr">
        <is>
          <t>Double counting caution</t>
        </is>
      </c>
      <c r="B8" s="2" t="inlineStr">
        <is>
          <t>The utilisation scenario already includes an HVLC improvement assumption. Do not add the separate HVLC row to the utilisation row unless the scenarios have been de-duplicated.</t>
        </is>
      </c>
    </row>
    <row r="9" ht="48" customHeight="1" s="22">
      <c r="A9" s="2" t="inlineStr">
        <is>
          <t>Supporting drivers</t>
        </is>
      </c>
      <c r="B9" s="2" t="inlineStr">
        <is>
          <t>Late starts, booking rules, and cancellation/readiness actions support utilisation delivery and are shown in the initiative map rather than separately valued.</t>
        </is>
      </c>
    </row>
    <row r="10" ht="32" customHeight="1" s="22">
      <c r="A10" s="11" t="inlineStr">
        <is>
          <t>Day case rate</t>
        </is>
      </c>
      <c r="B10" s="11" t="inlineStr">
        <is>
          <t>Calculated as backlog x target-rate improvement for the opportunity model. Specialty-level day-case RAG should still be interpreted against specialty benchmarks/case mix.</t>
        </is>
      </c>
    </row>
    <row r="11" ht="32" customHeight="1" s="22">
      <c r="A11" s="11" t="inlineStr">
        <is>
          <t>Theatre estate capacity</t>
        </is>
      </c>
      <c r="B11" s="11" t="inlineStr">
        <is>
          <t>Additional sessions = baseline sessions x ((target utilisation / current utilisation) - 1). Waiting-list impact = additional sessions x average cases per list.</t>
        </is>
      </c>
    </row>
    <row r="12">
      <c r="A12" s="24" t="inlineStr">
        <is>
          <t>HVLC income potential</t>
        </is>
      </c>
      <c r="B12" s="24" t="inlineStr">
        <is>
          <t>HVLC income potential also uses £2,000 per additional case, aligned to the general income assumption now used across the theatre opportunity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2026-06-08T13:09:10Z</dcterms:created>
  <dcterms:modified xmlns:dcterms="http://purl.org/dc/terms/" xmlns:xsi="http://www.w3.org/2001/XMLSchema-instance" xsi:type="dcterms:W3CDTF">2026-06-08T18:30:24Z</dcterms:modified>
  <cp:lastModifiedBy>Emmanuel Ajayi</cp:lastModifiedBy>
</cp:coreProperties>
</file>