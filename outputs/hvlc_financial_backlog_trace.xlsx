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Tabl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Procedure Activity" sheetId="3" state="visible" r:id="rId3"/>
    <sheet xmlns:r="http://schemas.openxmlformats.org/officeDocument/2006/relationships" name="HVLC Overview" sheetId="4" state="visible" r:id="rId4"/>
    <sheet xmlns:r="http://schemas.openxmlformats.org/officeDocument/2006/relationships" name="Formula Trace" sheetId="5" state="visible" r:id="rId5"/>
  </sheets>
  <definedNames>
    <definedName name="_xlnm._FilterDatabase" localSheetId="0" hidden="1">'Summary Table'!$A$1:$F$8</definedName>
    <definedName name="_xlnm._FilterDatabase" localSheetId="1" hidden="1">'Inputs'!$A$1:$D$20</definedName>
    <definedName name="_xlnm._FilterDatabase" localSheetId="2" hidden="1">'Procedure Activity'!$A$1:$Q$6</definedName>
    <definedName name="_xlnm._FilterDatabase" localSheetId="3" hidden="1">'HVLC Overview'!$A$1:$N$5</definedName>
    <definedName name="_xlnm._FilterDatabase" localSheetId="4" hidden="1">'Formula Trace'!$A$1:$D$17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£#,##0"/>
    <numFmt numFmtId="166" formatCode="£#,##0.00"/>
    <numFmt numFmtId="167" formatCode="dd/mm/yyyy"/>
    <numFmt numFmtId="168" formatCode="0.0%"/>
    <numFmt numFmtId="169" formatCode="#,##0.0"/>
    <numFmt numFmtId="170" formatCode="0.0"/>
  </numFmts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  <font>
      <i val="1"/>
      <color rgb="00666666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166" fontId="0" fillId="4" borderId="1" applyAlignment="1" pivotButton="0" quotePrefix="0" xfId="0">
      <alignment vertical="top" wrapText="1"/>
    </xf>
    <xf numFmtId="167" fontId="0" fillId="3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69" fontId="0" fillId="4" borderId="1" applyAlignment="1" pivotButton="0" quotePrefix="0" xfId="0">
      <alignment vertical="top" wrapText="1"/>
    </xf>
    <xf numFmtId="169" fontId="0" fillId="0" borderId="1" applyAlignment="1" pivotButton="0" quotePrefix="0" xfId="0">
      <alignment vertical="top" wrapText="1"/>
    </xf>
    <xf numFmtId="170" fontId="0" fillId="4" borderId="1" applyAlignment="1" pivotButton="0" quotePrefix="0" xfId="0">
      <alignment vertical="top" wrapText="1"/>
    </xf>
    <xf numFmtId="165" fontId="0" fillId="4" borderId="1" applyAlignment="1" pivotButton="0" quotePrefix="0" xfId="0">
      <alignment vertical="top" wrapText="1"/>
    </xf>
    <xf numFmtId="168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44" customWidth="1" min="3" max="3"/>
    <col width="50" customWidth="1" min="4" max="4"/>
    <col width="50" customWidth="1" min="5" max="5"/>
    <col width="38" customWidth="1" min="6" max="6"/>
  </cols>
  <sheetData>
    <row r="1" ht="24" customHeight="1">
      <c r="A1" s="1" t="inlineStr">
        <is>
          <t>HVLC Financial and Backlog Impact Summary</t>
        </is>
      </c>
      <c r="B1" s="2" t="n"/>
      <c r="C1" s="2" t="n"/>
      <c r="D1" s="2" t="n"/>
      <c r="E1" s="2" t="n"/>
      <c r="F1" s="2" t="n"/>
    </row>
    <row r="2" ht="24" customHeight="1">
      <c r="A2" s="3" t="inlineStr">
        <is>
          <t>Cells in green contain live Excel formulas. The calculation tabs show the trace behind each summary statement.</t>
        </is>
      </c>
      <c r="B2" s="2" t="n"/>
      <c r="C2" s="2" t="n"/>
      <c r="D2" s="2" t="n"/>
      <c r="E2" s="2" t="n"/>
      <c r="F2" s="2" t="n"/>
    </row>
    <row r="3" ht="24" customHeight="1">
      <c r="A3" s="2" t="n"/>
      <c r="B3" s="2" t="n"/>
      <c r="C3" s="2" t="n"/>
      <c r="D3" s="2" t="n"/>
      <c r="E3" s="2" t="n"/>
      <c r="F3" s="2" t="n"/>
    </row>
    <row r="4" ht="45" customHeight="1">
      <c r="A4" s="4" t="inlineStr">
        <is>
          <t>#</t>
        </is>
      </c>
      <c r="B4" s="4" t="inlineStr">
        <is>
          <t>Initiative</t>
        </is>
      </c>
      <c r="C4" s="4" t="inlineStr">
        <is>
          <t>Aim / data basis</t>
        </is>
      </c>
      <c r="D4" s="4" t="inlineStr">
        <is>
          <t>Financial Benefit</t>
        </is>
      </c>
      <c r="E4" s="4" t="inlineStr">
        <is>
          <t>Backlog Impact</t>
        </is>
      </c>
      <c r="F4" s="4" t="inlineStr">
        <is>
          <t>Trace</t>
        </is>
      </c>
    </row>
    <row r="5" ht="45" customHeight="1">
      <c r="A5" s="5" t="n">
        <v>5</v>
      </c>
      <c r="B5" s="5" t="inlineStr">
        <is>
          <t>HVLC On-Site Lists Overview</t>
        </is>
      </c>
      <c r="C5" s="6" t="inlineStr">
        <is>
          <t>Dedicated HVLC lists across T&amp;O, Ophthalmology, ENT and General Surgery; estimated 300-500 additional cases/year.</t>
        </is>
      </c>
      <c r="D5" s="7">
        <f>"Based on "&amp;TEXT('HVLC Overview'!B4,"#,##0")&amp;"-"&amp;TEXT('HVLC Overview'!C4,"#,##0")&amp;" additional cases/year, financial opportunity is "&amp;TEXT('HVLC Overview'!G4,"£#,##0")&amp;"-"&amp;TEXT('HVLC Overview'!H4,"£#,##0")&amp;" WLI-equivalent reduction."</f>
        <v/>
      </c>
      <c r="E5" s="7">
        <f>"Reduces RTT backlog from "&amp;TEXT('HVLC Overview'!I4,"#,##0")&amp;" to "&amp;TEXT('HVLC Overview'!K4,"#,##0")&amp;"-"&amp;TEXT('HVLC Overview'!J4,"#,##0")&amp;", a reduction of "&amp;TEXT('HVLC Overview'!B4,"#,##0")&amp;"-"&amp;TEXT('HVLC Overview'!C4,"#,##0")&amp;" pathways ("&amp;TEXT('HVLC Overview'!L4,"0.0%")&amp;"-"&amp;TEXT('HVLC Overview'!M4,"0.0%")&amp;")."</f>
        <v/>
      </c>
      <c r="F5" s="6" t="inlineStr">
        <is>
          <t>See HVLC Overview rows 4-5 and Formula Trace rows 4-6.</t>
        </is>
      </c>
    </row>
    <row r="6" ht="45" customHeight="1">
      <c r="A6" s="5" t="n">
        <v>6</v>
      </c>
      <c r="B6" s="5" t="inlineStr">
        <is>
          <t>T&amp;O Hip/Knee</t>
        </is>
      </c>
      <c r="C6" s="6" t="inlineStr">
        <is>
          <t>Theatre activity identifies elective hip/knee procedure cases; target is 4 joint replacements per all-day list.</t>
        </is>
      </c>
      <c r="D6" s="7">
        <f>"Indicative WLI-equivalent opportunity: "&amp;TEXT('Procedure Activity'!M4,"£#,##0")&amp;"/year, based on moving from "&amp;TEXT('Procedure Activity'!E4,"0.0")&amp;" to "&amp;TEXT('Procedure Activity'!I4,"0.0")&amp;" cases/list."</f>
        <v/>
      </c>
      <c r="E6" s="7">
        <f>"Specialty-level proxy: "&amp;TEXT('Procedure Activity'!K4,"#,##0")&amp;" additional cases/year against T&amp;O backlog of "&amp;TEXT('Procedure Activity'!B4,"#,##0")&amp;", reducing backlog to "&amp;TEXT('Procedure Activity'!N4,"#,##0")&amp;" ("&amp;TEXT('Procedure Activity'!O4,"0.0%")&amp;")."</f>
        <v/>
      </c>
      <c r="F6" s="6" t="inlineStr">
        <is>
          <t>See Procedure Activity row 4 and Formula Trace rows 8-12.</t>
        </is>
      </c>
    </row>
    <row r="7" ht="45" customHeight="1">
      <c r="A7" s="5" t="n">
        <v>7</v>
      </c>
      <c r="B7" s="5" t="inlineStr">
        <is>
          <t>T&amp;O Hand/Wrist</t>
        </is>
      </c>
      <c r="C7" s="6" t="inlineStr">
        <is>
          <t>Theatre activity identifies elective hand/wrist procedure cases; target is 6 cases per dedicated list.</t>
        </is>
      </c>
      <c r="D7" s="7">
        <f>"Indicative WLI-equivalent opportunity: "&amp;TEXT('Procedure Activity'!M5,"£#,##0")&amp;"/year, based on moving from "&amp;TEXT('Procedure Activity'!E5,"0.0")&amp;" to "&amp;TEXT('Procedure Activity'!I5,"0.0")&amp;" cases/list."</f>
        <v/>
      </c>
      <c r="E7" s="7">
        <f>"Specialty-level proxy: "&amp;TEXT('Procedure Activity'!K5,"#,##0")&amp;" additional cases/year against T&amp;O backlog of "&amp;TEXT('Procedure Activity'!B5,"#,##0")&amp;", reducing backlog to "&amp;TEXT('Procedure Activity'!N5,"#,##0")&amp;" ("&amp;TEXT('Procedure Activity'!O5,"0.0%")&amp;")."</f>
        <v/>
      </c>
      <c r="F7" s="6" t="inlineStr">
        <is>
          <t>See Procedure Activity row 5 and Formula Trace rows 8-12.</t>
        </is>
      </c>
    </row>
    <row r="8" ht="45" customHeight="1">
      <c r="A8" s="5" t="n">
        <v>8</v>
      </c>
      <c r="B8" s="5" t="inlineStr">
        <is>
          <t>Ophthalmology Cataract</t>
        </is>
      </c>
      <c r="C8" s="6" t="inlineStr">
        <is>
          <t>Theatre activity identifies elective cataract procedure cases; target is 10 cataracts per 4-hour list and &gt;=36 cases/week.</t>
        </is>
      </c>
      <c r="D8" s="7">
        <f>"Indicative WLI-equivalent opportunity: "&amp;TEXT('Procedure Activity'!M6,"£#,##0")&amp;"/year, based on moving from "&amp;TEXT('Procedure Activity'!F6,"#,##0")&amp;" to "&amp;TEXT('Procedure Activity'!J6,"#,##0")&amp;" cases/year."</f>
        <v/>
      </c>
      <c r="E8" s="7">
        <f>"Specialty-level proxy: "&amp;TEXT('Procedure Activity'!K6,"#,##0")&amp;" additional cases/year against Ophthalmology backlog of "&amp;TEXT('Procedure Activity'!B6,"#,##0")&amp;", reducing backlog to "&amp;TEXT('Procedure Activity'!N6,"#,##0")&amp;" ("&amp;TEXT('Procedure Activity'!O6,"0.0%")&amp;")."</f>
        <v/>
      </c>
      <c r="F8" s="6" t="inlineStr">
        <is>
          <t>See Procedure Activity row 6 and Formula Trace rows 8-12.</t>
        </is>
      </c>
    </row>
  </sheetData>
  <autoFilter ref="A1:F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70" customWidth="1" min="4" max="4"/>
  </cols>
  <sheetData>
    <row r="1" ht="24" customHeight="1">
      <c r="A1" s="1" t="inlineStr">
        <is>
          <t>HVLC Financial and Backlog Model - Inputs</t>
        </is>
      </c>
      <c r="B1" s="2" t="n"/>
      <c r="C1" s="2" t="n"/>
      <c r="D1" s="2" t="n"/>
    </row>
    <row r="2" ht="24" customHeight="1">
      <c r="A2" s="2" t="n"/>
      <c r="B2" s="2" t="n"/>
      <c r="C2" s="2" t="n"/>
      <c r="D2" s="2" t="n"/>
    </row>
    <row r="3" ht="24" customHeight="1">
      <c r="A3" s="4" t="inlineStr">
        <is>
          <t>Input</t>
        </is>
      </c>
      <c r="B3" s="4" t="inlineStr">
        <is>
          <t>Value</t>
        </is>
      </c>
      <c r="C3" s="4" t="inlineStr">
        <is>
          <t>Unit</t>
        </is>
      </c>
      <c r="D3" s="4" t="inlineStr">
        <is>
          <t>Source / note</t>
        </is>
      </c>
    </row>
    <row r="4" ht="35" customHeight="1">
      <c r="A4" s="5" t="inlineStr">
        <is>
          <t>Baseline RTT backlog</t>
        </is>
      </c>
      <c r="B4" s="8" t="n">
        <v>23086</v>
      </c>
      <c r="C4" s="5" t="inlineStr">
        <is>
          <t>pathways</t>
        </is>
      </c>
      <c r="D4" s="5" t="inlineStr">
        <is>
          <t>Total specialty backlog from shared opportunity table</t>
        </is>
      </c>
    </row>
    <row r="5" ht="35" customHeight="1">
      <c r="A5" s="5" t="inlineStr">
        <is>
          <t>T&amp;O specialty backlog</t>
        </is>
      </c>
      <c r="B5" s="8" t="n">
        <v>5203</v>
      </c>
      <c r="C5" s="5" t="inlineStr">
        <is>
          <t>pathways</t>
        </is>
      </c>
      <c r="D5" s="5" t="inlineStr">
        <is>
          <t>Trauma &amp; Orthopaedics backlog from shared opportunity table</t>
        </is>
      </c>
    </row>
    <row r="6" ht="35" customHeight="1">
      <c r="A6" s="5" t="inlineStr">
        <is>
          <t>Ophthalmology specialty backlog</t>
        </is>
      </c>
      <c r="B6" s="8" t="n">
        <v>3084</v>
      </c>
      <c r="C6" s="5" t="inlineStr">
        <is>
          <t>pathways</t>
        </is>
      </c>
      <c r="D6" s="5" t="inlineStr">
        <is>
          <t>Ophthalmology backlog from shared opportunity table</t>
        </is>
      </c>
    </row>
    <row r="7" ht="35" customHeight="1">
      <c r="A7" s="5" t="inlineStr">
        <is>
          <t>WLI sessions</t>
        </is>
      </c>
      <c r="B7" s="8" t="n">
        <v>2673</v>
      </c>
      <c r="C7" s="5" t="inlineStr">
        <is>
          <t>sessions</t>
        </is>
      </c>
      <c r="D7" s="5" t="inlineStr">
        <is>
          <t>Total WLI sessions from shared opportunity table</t>
        </is>
      </c>
    </row>
    <row r="8" ht="35" customHeight="1">
      <c r="A8" s="5" t="inlineStr">
        <is>
          <t>WLI spend</t>
        </is>
      </c>
      <c r="B8" s="9" t="n">
        <v>1336600</v>
      </c>
      <c r="C8" s="5" t="inlineStr">
        <is>
          <t>GBP</t>
        </is>
      </c>
      <c r="D8" s="5" t="inlineStr">
        <is>
          <t>Total WLI spend from shared opportunity table</t>
        </is>
      </c>
    </row>
    <row r="9" ht="35" customHeight="1">
      <c r="A9" s="5" t="inlineStr">
        <is>
          <t>WLI cost per session</t>
        </is>
      </c>
      <c r="B9" s="10">
        <f>B8/B7</f>
        <v/>
      </c>
      <c r="C9" s="5" t="inlineStr">
        <is>
          <t>GBP/session</t>
        </is>
      </c>
      <c r="D9" s="5" t="inlineStr">
        <is>
          <t>Formula: WLI spend / WLI sessions</t>
        </is>
      </c>
    </row>
    <row r="10" ht="35" customHeight="1">
      <c r="A10" s="5" t="inlineStr">
        <is>
          <t>Theatre source start date</t>
        </is>
      </c>
      <c r="B10" s="11" t="n">
        <v>45017</v>
      </c>
      <c r="C10" s="5" t="inlineStr">
        <is>
          <t>date</t>
        </is>
      </c>
      <c r="D10" s="5" t="inlineStr">
        <is>
          <t>data/raw/theatre utilisation/Upload - Theatres Activity Apr 23 - Mar 26 v2.csv</t>
        </is>
      </c>
    </row>
    <row r="11" ht="35" customHeight="1">
      <c r="A11" s="5" t="inlineStr">
        <is>
          <t>Theatre source end date</t>
        </is>
      </c>
      <c r="B11" s="11" t="n">
        <v>46112</v>
      </c>
      <c r="C11" s="5" t="inlineStr">
        <is>
          <t>date</t>
        </is>
      </c>
      <c r="D11" s="5" t="inlineStr">
        <is>
          <t>data/raw/theatre utilisation/Upload - Theatres Activity Apr 23 - Mar 26 v2.csv</t>
        </is>
      </c>
    </row>
    <row r="12" ht="35" customHeight="1">
      <c r="A12" s="5" t="inlineStr">
        <is>
          <t>Theatre source period years</t>
        </is>
      </c>
      <c r="B12" s="12">
        <f>(B11-B10+1)/365.25</f>
        <v/>
      </c>
      <c r="C12" s="5" t="inlineStr">
        <is>
          <t>years</t>
        </is>
      </c>
      <c r="D12" s="5" t="inlineStr">
        <is>
          <t>Formula: inclusive date range / 365.25</t>
        </is>
      </c>
    </row>
    <row r="13" ht="35" customHeight="1">
      <c r="A13" s="5" t="inlineStr">
        <is>
          <t>HVLC lower additional cases</t>
        </is>
      </c>
      <c r="B13" s="8" t="n">
        <v>300</v>
      </c>
      <c r="C13" s="5" t="inlineStr">
        <is>
          <t>cases/year</t>
        </is>
      </c>
      <c r="D13" s="5" t="inlineStr">
        <is>
          <t>Dedicated HVLC list assumption from Opportunity model</t>
        </is>
      </c>
    </row>
    <row r="14" ht="35" customHeight="1">
      <c r="A14" s="5" t="inlineStr">
        <is>
          <t>HVLC upper additional cases</t>
        </is>
      </c>
      <c r="B14" s="8" t="n">
        <v>500</v>
      </c>
      <c r="C14" s="5" t="inlineStr">
        <is>
          <t>cases/year</t>
        </is>
      </c>
      <c r="D14" s="5" t="inlineStr">
        <is>
          <t>Dedicated HVLC list assumption from Opportunity model</t>
        </is>
      </c>
    </row>
    <row r="15" ht="35" customHeight="1">
      <c r="A15" s="5" t="inlineStr">
        <is>
          <t>HVLC modelled improvement cases</t>
        </is>
      </c>
      <c r="B15" s="8" t="n">
        <v>462</v>
      </c>
      <c r="C15" s="5" t="inlineStr">
        <is>
          <t>cases/year</t>
        </is>
      </c>
      <c r="D15" s="5" t="inlineStr">
        <is>
          <t>Modelled HVLC improvement from shared table</t>
        </is>
      </c>
    </row>
    <row r="16" ht="35" customHeight="1">
      <c r="A16" s="5" t="inlineStr">
        <is>
          <t>HVLC average cases per list</t>
        </is>
      </c>
      <c r="B16" s="8" t="n">
        <v>2</v>
      </c>
      <c r="C16" s="5" t="inlineStr">
        <is>
          <t>cases/list</t>
        </is>
      </c>
      <c r="D16" s="5" t="inlineStr">
        <is>
          <t>Used to convert additional cases into WLI-equivalent sessions</t>
        </is>
      </c>
    </row>
    <row r="17" ht="35" customHeight="1">
      <c r="A17" s="5" t="inlineStr">
        <is>
          <t>Hip/knee target cases per list</t>
        </is>
      </c>
      <c r="B17" s="8" t="n">
        <v>4</v>
      </c>
      <c r="C17" s="5" t="inlineStr">
        <is>
          <t>cases/list</t>
        </is>
      </c>
      <c r="D17" s="5" t="inlineStr">
        <is>
          <t>GIRFT target in user table</t>
        </is>
      </c>
    </row>
    <row r="18" ht="35" customHeight="1">
      <c r="A18" s="5" t="inlineStr">
        <is>
          <t>Hand/wrist target cases per list</t>
        </is>
      </c>
      <c r="B18" s="8" t="n">
        <v>6</v>
      </c>
      <c r="C18" s="5" t="inlineStr">
        <is>
          <t>cases/list</t>
        </is>
      </c>
      <c r="D18" s="5" t="inlineStr">
        <is>
          <t>Dedicated list target in user table</t>
        </is>
      </c>
    </row>
    <row r="19" ht="35" customHeight="1">
      <c r="A19" s="5" t="inlineStr">
        <is>
          <t>Cataract target cases per week</t>
        </is>
      </c>
      <c r="B19" s="8" t="n">
        <v>36</v>
      </c>
      <c r="C19" s="5" t="inlineStr">
        <is>
          <t>cases/week</t>
        </is>
      </c>
      <c r="D19" s="5" t="inlineStr">
        <is>
          <t>User table: &gt;=36 cases/week</t>
        </is>
      </c>
    </row>
    <row r="20" ht="35" customHeight="1">
      <c r="A20" s="5" t="inlineStr">
        <is>
          <t>Cataract target cases per list</t>
        </is>
      </c>
      <c r="B20" s="8" t="n">
        <v>10</v>
      </c>
      <c r="C20" s="5" t="inlineStr">
        <is>
          <t>cases/list</t>
        </is>
      </c>
      <c r="D20" s="5" t="inlineStr">
        <is>
          <t>User table: 10 cataracts per 4-hour list</t>
        </is>
      </c>
    </row>
  </sheetData>
  <autoFilter ref="A1:D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6" customWidth="1" min="7" max="7"/>
    <col width="34" customWidth="1" min="8" max="8"/>
    <col width="16" customWidth="1" min="9" max="9"/>
    <col width="18" customWidth="1" min="10" max="10"/>
    <col width="18" customWidth="1" min="11" max="11"/>
    <col width="20" customWidth="1" min="12" max="12"/>
    <col width="20" customWidth="1" min="13" max="13"/>
    <col width="22" customWidth="1" min="14" max="14"/>
    <col width="18" customWidth="1" min="15" max="15"/>
    <col width="55" customWidth="1" min="16" max="16"/>
    <col width="65" customWidth="1" min="17" max="17"/>
  </cols>
  <sheetData>
    <row r="1" ht="24" customHeight="1">
      <c r="A1" s="1" t="inlineStr">
        <is>
          <t>Procedure Activity and Proxy Backlog Calculation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2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 ht="24" customHeight="1">
      <c r="A3" s="4" t="inlineStr">
        <is>
          <t>Procedure group</t>
        </is>
      </c>
      <c r="B3" s="4" t="inlineStr">
        <is>
          <t>Specialty backlog proxy</t>
        </is>
      </c>
      <c r="C3" s="4" t="inlineStr">
        <is>
          <t>Completed cases in source period</t>
        </is>
      </c>
      <c r="D3" s="4" t="inlineStr">
        <is>
          <t>Sessions in source period</t>
        </is>
      </c>
      <c r="E3" s="4" t="inlineStr">
        <is>
          <t>Current cases per list</t>
        </is>
      </c>
      <c r="F3" s="4" t="inlineStr">
        <is>
          <t>Current cases per year</t>
        </is>
      </c>
      <c r="G3" s="4" t="inlineStr">
        <is>
          <t>Sessions per year</t>
        </is>
      </c>
      <c r="H3" s="4" t="inlineStr">
        <is>
          <t>Target basis</t>
        </is>
      </c>
      <c r="I3" s="4" t="inlineStr">
        <is>
          <t>Target cases per list</t>
        </is>
      </c>
      <c r="J3" s="4" t="inlineStr">
        <is>
          <t>Target cases per year</t>
        </is>
      </c>
      <c r="K3" s="4" t="inlineStr">
        <is>
          <t>Additional cases per year</t>
        </is>
      </c>
      <c r="L3" s="4" t="inlineStr">
        <is>
          <t>WLI-equivalent sessions per year</t>
        </is>
      </c>
      <c r="M3" s="4" t="inlineStr">
        <is>
          <t>Financial opportunity per year</t>
        </is>
      </c>
      <c r="N3" s="4" t="inlineStr">
        <is>
          <t>Remaining specialty backlog proxy</t>
        </is>
      </c>
      <c r="O3" s="4" t="inlineStr">
        <is>
          <t>Backlog reduction % proxy</t>
        </is>
      </c>
      <c r="P3" s="4" t="inlineStr">
        <is>
          <t>Top matched procedure descriptions</t>
        </is>
      </c>
      <c r="Q3" s="4" t="inlineStr">
        <is>
          <t>Formula trace</t>
        </is>
      </c>
    </row>
    <row r="4" ht="45" customHeight="1">
      <c r="A4" s="5" t="inlineStr">
        <is>
          <t>T&amp;O hip/knee</t>
        </is>
      </c>
      <c r="B4" s="13">
        <f>Inputs!B5</f>
        <v/>
      </c>
      <c r="C4" s="14" t="n">
        <v>1763</v>
      </c>
      <c r="D4" s="14" t="n">
        <v>925</v>
      </c>
      <c r="E4" s="15">
        <f>C4/D4</f>
        <v/>
      </c>
      <c r="F4" s="13">
        <f>C4/Inputs!B12</f>
        <v/>
      </c>
      <c r="G4" s="13">
        <f>D4/Inputs!B12</f>
        <v/>
      </c>
      <c r="H4" s="5" t="inlineStr">
        <is>
          <t>4 joint replacements/all-day list</t>
        </is>
      </c>
      <c r="I4" s="13">
        <f>Inputs!B17</f>
        <v/>
      </c>
      <c r="J4" s="13">
        <f>G4*I4</f>
        <v/>
      </c>
      <c r="K4" s="13">
        <f>MAX(J4-F4,0)</f>
        <v/>
      </c>
      <c r="L4" s="13">
        <f>K4/I4</f>
        <v/>
      </c>
      <c r="M4" s="16">
        <f>L4*Inputs!B9</f>
        <v/>
      </c>
      <c r="N4" s="13">
        <f>B4-K4</f>
        <v/>
      </c>
      <c r="O4" s="17">
        <f>K4/B4</f>
        <v/>
      </c>
      <c r="P4" s="5" t="inlineStr">
        <is>
          <t>Primary total prosthetic replacement of knee joint using cement; Primary total prosthetic replacement of knee joint using cement (S); Primary total prosthetic replacement of hip joint using cement; Primary total prosthetic replacement of hip joint using cement (S); Primary total prosthetic replacement of knee joint NEC (S)</t>
        </is>
      </c>
      <c r="Q4" s="5" t="inlineStr">
        <is>
          <t>Additional cases/year = max((sessions/year * target cases/list) - current cases/year, 0). Backlog % uses total T&amp;O backlog because procedure-level backlog is not available.</t>
        </is>
      </c>
    </row>
    <row r="5" ht="45" customHeight="1">
      <c r="A5" s="5" t="inlineStr">
        <is>
          <t>T&amp;O hand/wrist</t>
        </is>
      </c>
      <c r="B5" s="13">
        <f>Inputs!B5</f>
        <v/>
      </c>
      <c r="C5" s="14" t="n">
        <v>288</v>
      </c>
      <c r="D5" s="14" t="n">
        <v>154</v>
      </c>
      <c r="E5" s="15">
        <f>C5/D5</f>
        <v/>
      </c>
      <c r="F5" s="13">
        <f>C5/Inputs!B12</f>
        <v/>
      </c>
      <c r="G5" s="13">
        <f>D5/Inputs!B12</f>
        <v/>
      </c>
      <c r="H5" s="5" t="inlineStr">
        <is>
          <t>6 hand/wrist cases/dedicated list</t>
        </is>
      </c>
      <c r="I5" s="13">
        <f>Inputs!B18</f>
        <v/>
      </c>
      <c r="J5" s="13">
        <f>G5*I5</f>
        <v/>
      </c>
      <c r="K5" s="13">
        <f>MAX(J5-F5,0)</f>
        <v/>
      </c>
      <c r="L5" s="13">
        <f>K5/I5</f>
        <v/>
      </c>
      <c r="M5" s="16">
        <f>L5*Inputs!B9</f>
        <v/>
      </c>
      <c r="N5" s="13">
        <f>B5-K5</f>
        <v/>
      </c>
      <c r="O5" s="17">
        <f>K5/B5</f>
        <v/>
      </c>
      <c r="P5" s="5" t="inlineStr">
        <is>
          <t>Carpal tunnel release; Carpal tunnel release (S); Hand NEC; Finger NEC; Wrist NEC</t>
        </is>
      </c>
      <c r="Q5" s="5" t="inlineStr">
        <is>
          <t>Additional cases/year = max((sessions/year * target cases/list) - current cases/year, 0). Backlog % uses total T&amp;O backlog because procedure-level backlog is not available.</t>
        </is>
      </c>
    </row>
    <row r="6" ht="45" customHeight="1">
      <c r="A6" s="5" t="inlineStr">
        <is>
          <t>Ophthalmology cataract</t>
        </is>
      </c>
      <c r="B6" s="13">
        <f>Inputs!B6</f>
        <v/>
      </c>
      <c r="C6" s="14" t="n">
        <v>2766</v>
      </c>
      <c r="D6" s="14" t="n">
        <v>883</v>
      </c>
      <c r="E6" s="15">
        <f>C6/D6</f>
        <v/>
      </c>
      <c r="F6" s="13">
        <f>C6/Inputs!B12</f>
        <v/>
      </c>
      <c r="G6" s="13">
        <f>D6/Inputs!B12</f>
        <v/>
      </c>
      <c r="H6" s="5" t="inlineStr">
        <is>
          <t>&gt;=36 cases/week and 10 cataracts/4-hour list</t>
        </is>
      </c>
      <c r="I6" s="13">
        <f>Inputs!B20</f>
        <v/>
      </c>
      <c r="J6" s="13">
        <f>Inputs!B19*52</f>
        <v/>
      </c>
      <c r="K6" s="13">
        <f>MAX(J6-F6,0)</f>
        <v/>
      </c>
      <c r="L6" s="13">
        <f>K6/I6</f>
        <v/>
      </c>
      <c r="M6" s="16">
        <f>L6*Inputs!B9</f>
        <v/>
      </c>
      <c r="N6" s="13">
        <f>B6-K6</f>
        <v/>
      </c>
      <c r="O6" s="17">
        <f>K6/B6</f>
        <v/>
      </c>
      <c r="P6" s="5" t="inlineStr">
        <is>
          <t>Phacoemulsification of lens; Phacoemulsification of lens (S); Insertion of prosthetic replacement for lens NEC (S); Discission of cataract; Discission of cataract (S)</t>
        </is>
      </c>
      <c r="Q6" s="5" t="inlineStr">
        <is>
          <t>Additional cases/year = max((36 cases/week * 52) - current cases/year, 0). Financial converts additional cases to 10-case lists. Backlog % uses total Ophthalmology backlog because cataract-level backlog is not available.</t>
        </is>
      </c>
    </row>
  </sheetData>
  <autoFilter ref="A1:Q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6" customWidth="1" min="4" max="4"/>
    <col width="20" customWidth="1" min="5" max="5"/>
    <col width="20" customWidth="1" min="6" max="6"/>
    <col width="18" customWidth="1" min="7" max="7"/>
    <col width="18" customWidth="1" min="8" max="8"/>
    <col width="18" customWidth="1" min="9" max="9"/>
    <col width="24" customWidth="1" min="10" max="10"/>
    <col width="24" customWidth="1" min="11" max="11"/>
    <col width="18" customWidth="1" min="12" max="12"/>
    <col width="18" customWidth="1" min="13" max="13"/>
    <col width="70" customWidth="1" min="14" max="14"/>
  </cols>
  <sheetData>
    <row r="1" ht="24" customHeight="1">
      <c r="A1" s="1" t="inlineStr">
        <is>
          <t>HVLC On-Site Lists Overview - Range Calculation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4" customHeight="1">
      <c r="A3" s="4" t="inlineStr">
        <is>
          <t>Scenario</t>
        </is>
      </c>
      <c r="B3" s="4" t="inlineStr">
        <is>
          <t>Additional cases lower</t>
        </is>
      </c>
      <c r="C3" s="4" t="inlineStr">
        <is>
          <t>Additional cases upper</t>
        </is>
      </c>
      <c r="D3" s="4" t="inlineStr">
        <is>
          <t>Cases per list</t>
        </is>
      </c>
      <c r="E3" s="4" t="inlineStr">
        <is>
          <t>WLI sessions avoided lower</t>
        </is>
      </c>
      <c r="F3" s="4" t="inlineStr">
        <is>
          <t>WLI sessions avoided upper</t>
        </is>
      </c>
      <c r="G3" s="4" t="inlineStr">
        <is>
          <t>Financial lower</t>
        </is>
      </c>
      <c r="H3" s="4" t="inlineStr">
        <is>
          <t>Financial upper</t>
        </is>
      </c>
      <c r="I3" s="4" t="inlineStr">
        <is>
          <t>Baseline backlog</t>
        </is>
      </c>
      <c r="J3" s="4" t="inlineStr">
        <is>
          <t>Remaining backlog lower impact</t>
        </is>
      </c>
      <c r="K3" s="4" t="inlineStr">
        <is>
          <t>Remaining backlog upper impact</t>
        </is>
      </c>
      <c r="L3" s="4" t="inlineStr">
        <is>
          <t>Backlog reduction lower %</t>
        </is>
      </c>
      <c r="M3" s="4" t="inlineStr">
        <is>
          <t>Backlog reduction upper %</t>
        </is>
      </c>
      <c r="N3" s="4" t="inlineStr">
        <is>
          <t>Formula trace</t>
        </is>
      </c>
    </row>
    <row r="4" ht="45" customHeight="1">
      <c r="A4" s="5" t="inlineStr">
        <is>
          <t>Dedicated HVLC lists - range</t>
        </is>
      </c>
      <c r="B4" s="13">
        <f>Inputs!B13</f>
        <v/>
      </c>
      <c r="C4" s="13">
        <f>Inputs!B14</f>
        <v/>
      </c>
      <c r="D4" s="13">
        <f>Inputs!B16</f>
        <v/>
      </c>
      <c r="E4" s="13">
        <f>B4/D4</f>
        <v/>
      </c>
      <c r="F4" s="13">
        <f>C4/D4</f>
        <v/>
      </c>
      <c r="G4" s="16">
        <f>E4*Inputs!B9</f>
        <v/>
      </c>
      <c r="H4" s="16">
        <f>F4*Inputs!B9</f>
        <v/>
      </c>
      <c r="I4" s="13">
        <f>Inputs!B4</f>
        <v/>
      </c>
      <c r="J4" s="13">
        <f>I4-B4</f>
        <v/>
      </c>
      <c r="K4" s="13">
        <f>I4-C4</f>
        <v/>
      </c>
      <c r="L4" s="17">
        <f>B4/I4</f>
        <v/>
      </c>
      <c r="M4" s="17">
        <f>C4/I4</f>
        <v/>
      </c>
      <c r="N4" s="5" t="inlineStr">
        <is>
          <t>Financial = additional cases / cases per list * WLI cost per session; Backlog % = additional cases / baseline RTT backlog</t>
        </is>
      </c>
    </row>
    <row r="5" ht="45" customHeight="1">
      <c r="A5" s="5" t="inlineStr">
        <is>
          <t>Dedicated HVLC lists - modelled 462 cases</t>
        </is>
      </c>
      <c r="B5" s="13">
        <f>Inputs!B15</f>
        <v/>
      </c>
      <c r="C5" s="13">
        <f>Inputs!B15</f>
        <v/>
      </c>
      <c r="D5" s="13">
        <f>Inputs!B16</f>
        <v/>
      </c>
      <c r="E5" s="13">
        <f>B5/D5</f>
        <v/>
      </c>
      <c r="F5" s="13">
        <f>C5/D5</f>
        <v/>
      </c>
      <c r="G5" s="16">
        <f>E5*Inputs!B9</f>
        <v/>
      </c>
      <c r="H5" s="16">
        <f>F5*Inputs!B9</f>
        <v/>
      </c>
      <c r="I5" s="13">
        <f>Inputs!B4</f>
        <v/>
      </c>
      <c r="J5" s="13">
        <f>I5-B5</f>
        <v/>
      </c>
      <c r="K5" s="13">
        <f>I5-C5</f>
        <v/>
      </c>
      <c r="L5" s="17">
        <f>B5/I5</f>
        <v/>
      </c>
      <c r="M5" s="17">
        <f>C5/I5</f>
        <v/>
      </c>
      <c r="N5" s="5" t="inlineStr">
        <is>
          <t>Uses modelled HVLC improvement cases from shared table</t>
        </is>
      </c>
    </row>
  </sheetData>
  <autoFilter ref="A1:N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52" customWidth="1" min="3" max="3"/>
    <col width="72" customWidth="1" min="4" max="4"/>
  </cols>
  <sheetData>
    <row r="1" ht="24" customHeight="1">
      <c r="A1" s="1" t="inlineStr">
        <is>
          <t>Formula Trace and Caveats</t>
        </is>
      </c>
      <c r="B1" s="2" t="n"/>
      <c r="C1" s="2" t="n"/>
      <c r="D1" s="2" t="n"/>
    </row>
    <row r="2" ht="24" customHeight="1">
      <c r="A2" s="2" t="n"/>
      <c r="B2" s="2" t="n"/>
      <c r="C2" s="2" t="n"/>
      <c r="D2" s="2" t="n"/>
    </row>
    <row r="3" ht="24" customHeight="1">
      <c r="A3" s="4" t="inlineStr">
        <is>
          <t>Area</t>
        </is>
      </c>
      <c r="B3" s="4" t="inlineStr">
        <is>
          <t>Metric</t>
        </is>
      </c>
      <c r="C3" s="4" t="inlineStr">
        <is>
          <t>Excel formula / method</t>
        </is>
      </c>
      <c r="D3" s="4" t="inlineStr">
        <is>
          <t>Purpose / caveat</t>
        </is>
      </c>
    </row>
    <row r="4" ht="45" customHeight="1">
      <c r="A4" s="5" t="inlineStr">
        <is>
          <t>Inputs</t>
        </is>
      </c>
      <c r="B4" s="5" t="inlineStr">
        <is>
          <t>WLI cost per session</t>
        </is>
      </c>
      <c r="C4" s="7">
        <f>Inputs!B8/Inputs!B7</f>
        <v/>
      </c>
      <c r="D4" s="5" t="inlineStr">
        <is>
          <t>Converts WLI spend and WLI sessions into an assumed session cost.</t>
        </is>
      </c>
    </row>
    <row r="5" ht="45" customHeight="1">
      <c r="A5" s="5" t="inlineStr">
        <is>
          <t>HVLC overview</t>
        </is>
      </c>
      <c r="B5" s="5" t="inlineStr">
        <is>
          <t>WLI sessions avoided</t>
        </is>
      </c>
      <c r="C5" s="7">
        <f>Additional cases / cases per list</f>
        <v/>
      </c>
      <c r="D5" s="5" t="inlineStr">
        <is>
          <t>Converts the 300-500 additional case range into WLI-equivalent sessions.</t>
        </is>
      </c>
    </row>
    <row r="6" ht="45" customHeight="1">
      <c r="A6" s="5" t="inlineStr">
        <is>
          <t>HVLC overview</t>
        </is>
      </c>
      <c r="B6" s="5" t="inlineStr">
        <is>
          <t>Financial benefit</t>
        </is>
      </c>
      <c r="C6" s="7">
        <f>WLI sessions avoided * WLI cost per session</f>
        <v/>
      </c>
      <c r="D6" s="5" t="inlineStr">
        <is>
          <t>Shows WLI-equivalent reduction opportunity, not confirmed cashable saving.</t>
        </is>
      </c>
    </row>
    <row r="7" ht="45" customHeight="1">
      <c r="A7" s="5" t="inlineStr">
        <is>
          <t>HVLC overview</t>
        </is>
      </c>
      <c r="B7" s="5" t="inlineStr">
        <is>
          <t>Remaining backlog</t>
        </is>
      </c>
      <c r="C7" s="7">
        <f>Baseline RTT backlog - additional cases</f>
        <v/>
      </c>
      <c r="D7" s="5" t="inlineStr">
        <is>
          <t>Assumes additional cases are all RTT-backlog cases.</t>
        </is>
      </c>
    </row>
    <row r="8" ht="45" customHeight="1">
      <c r="A8" s="5" t="inlineStr">
        <is>
          <t>HVLC overview</t>
        </is>
      </c>
      <c r="B8" s="5" t="inlineStr">
        <is>
          <t>Backlog reduction %</t>
        </is>
      </c>
      <c r="C8" s="7">
        <f>Additional cases / baseline RTT backlog</f>
        <v/>
      </c>
      <c r="D8" s="5" t="inlineStr">
        <is>
          <t>Uses total RTT backlog because the HVLC overview is programme-level.</t>
        </is>
      </c>
    </row>
    <row r="9" ht="45" customHeight="1">
      <c r="A9" s="5" t="inlineStr">
        <is>
          <t>Procedure activity</t>
        </is>
      </c>
      <c r="B9" s="5" t="inlineStr">
        <is>
          <t>Current cases per list</t>
        </is>
      </c>
      <c r="C9" s="7">
        <f>Completed cases / sessions</f>
        <v/>
      </c>
      <c r="D9" s="5" t="inlineStr">
        <is>
          <t>Uses elective completed theatre activity matched by specialty and procedure text.</t>
        </is>
      </c>
    </row>
    <row r="10" ht="45" customHeight="1">
      <c r="A10" s="5" t="inlineStr">
        <is>
          <t>Procedure activity</t>
        </is>
      </c>
      <c r="B10" s="5" t="inlineStr">
        <is>
          <t>Current cases per year</t>
        </is>
      </c>
      <c r="C10" s="7">
        <f>Completed cases / theatre source period years</f>
        <v/>
      </c>
      <c r="D10" s="5" t="inlineStr">
        <is>
          <t>Annualises activity from Apr 2023-Mar 2026 theatre data.</t>
        </is>
      </c>
    </row>
    <row r="11" ht="45" customHeight="1">
      <c r="A11" s="5" t="inlineStr">
        <is>
          <t>Procedure activity</t>
        </is>
      </c>
      <c r="B11" s="5" t="inlineStr">
        <is>
          <t>Target cases per year - hip/knee and hand/wrist</t>
        </is>
      </c>
      <c r="C11" s="7">
        <f>Sessions per year * target cases per list</f>
        <v/>
      </c>
      <c r="D11" s="5" t="inlineStr">
        <is>
          <t>Uses current list/session volume and applies the dedicated-list target.</t>
        </is>
      </c>
    </row>
    <row r="12" ht="45" customHeight="1">
      <c r="A12" s="5" t="inlineStr">
        <is>
          <t>Procedure activity</t>
        </is>
      </c>
      <c r="B12" s="5" t="inlineStr">
        <is>
          <t>Target cases per year - cataract</t>
        </is>
      </c>
      <c r="C12" s="7">
        <f>36 cases/week * 52</f>
        <v/>
      </c>
      <c r="D12" s="5" t="inlineStr">
        <is>
          <t>Uses the stated &gt;=36 cataract cases/week aim.</t>
        </is>
      </c>
    </row>
    <row r="13" ht="45" customHeight="1">
      <c r="A13" s="5" t="inlineStr">
        <is>
          <t>Procedure activity</t>
        </is>
      </c>
      <c r="B13" s="5" t="inlineStr">
        <is>
          <t>Additional cases per year</t>
        </is>
      </c>
      <c r="C13" s="7">
        <f>MAX(Target cases per year - current cases per year, 0)</f>
        <v/>
      </c>
      <c r="D13" s="5" t="inlineStr">
        <is>
          <t>Estimates incremental procedure capacity.</t>
        </is>
      </c>
    </row>
    <row r="14" ht="45" customHeight="1">
      <c r="A14" s="5" t="inlineStr">
        <is>
          <t>Procedure activity</t>
        </is>
      </c>
      <c r="B14" s="5" t="inlineStr">
        <is>
          <t>Financial opportunity</t>
        </is>
      </c>
      <c r="C14" s="7">
        <f>Additional cases per year / target cases per list * WLI cost per session</f>
        <v/>
      </c>
      <c r="D14" s="5" t="inlineStr">
        <is>
          <t>Converts incremental procedure cases into WLI-equivalent sessions.</t>
        </is>
      </c>
    </row>
    <row r="15" ht="45" customHeight="1">
      <c r="A15" s="5" t="inlineStr">
        <is>
          <t>Procedure activity</t>
        </is>
      </c>
      <c r="B15" s="5" t="inlineStr">
        <is>
          <t>Backlog impact % proxy</t>
        </is>
      </c>
      <c r="C15" s="7">
        <f>Additional cases per year / specialty backlog</f>
        <v/>
      </c>
      <c r="D15" s="5" t="inlineStr">
        <is>
          <t>Proxy only: current RTT data is by specialty, not procedure.</t>
        </is>
      </c>
    </row>
    <row r="16" ht="45" customHeight="1">
      <c r="A16" s="5" t="inlineStr">
        <is>
          <t>Caveat</t>
        </is>
      </c>
      <c r="B16" s="5" t="inlineStr">
        <is>
          <t>Procedure-level backlog</t>
        </is>
      </c>
      <c r="C16" s="6" t="inlineStr">
        <is>
          <t>Not available in current RTT/PTL datasets</t>
        </is>
      </c>
      <c r="D16" s="5" t="inlineStr">
        <is>
          <t>RTT extracts have Treatment Function Name only; PTL CSV is overall only.</t>
        </is>
      </c>
    </row>
    <row r="17" ht="45" customHeight="1">
      <c r="A17" s="5" t="inlineStr">
        <is>
          <t>Caveat</t>
        </is>
      </c>
      <c r="B17" s="5" t="inlineStr">
        <is>
          <t>Finance</t>
        </is>
      </c>
      <c r="C17" s="6" t="inlineStr">
        <is>
          <t>WLI-equivalent reduction, not confirmed cash release</t>
        </is>
      </c>
      <c r="D17" s="5" t="inlineStr">
        <is>
          <t>Finance should confirm cashability, tariff/payment treatment, and whether benefits overlap.</t>
        </is>
      </c>
    </row>
  </sheetData>
  <autoFilter ref="A1:D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2026-06-05T12:34:19Z</dcterms:created>
  <dcterms:modified xmlns:dcterms="http://purl.org/dc/terms/" xmlns:xsi="http://www.w3.org/2001/XMLSchema-instance" xsi:type="dcterms:W3CDTF">2026-06-05T12:34:19Z</dcterms:modified>
</cp:coreProperties>
</file>