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Worked Calculation" sheetId="3" state="visible" r:id="rId3"/>
    <sheet xmlns:r="http://schemas.openxmlformats.org/officeDocument/2006/relationships" name="Formula Trac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GBP #,##0"/>
    <numFmt numFmtId="165" formatCode="0.0%"/>
    <numFmt numFmtId="166" formatCode="#,##0.0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41" customWidth="1" min="2" max="2"/>
    <col width="75" customWidth="1" min="3" max="3"/>
    <col width="75" customWidth="1" min="4" max="4"/>
    <col width="12" customWidth="1" min="5" max="5"/>
    <col width="38" customWidth="1" min="6" max="6"/>
    <col width="39" customWidth="1" min="7" max="7"/>
    <col width="27" customWidth="1" min="8" max="8"/>
    <col width="27" customWidth="1" min="9" max="9"/>
    <col width="27" customWidth="1" min="10" max="10"/>
    <col width="27" customWidth="1" min="11" max="11"/>
    <col width="70" customWidth="1" min="12" max="12"/>
  </cols>
  <sheetData>
    <row r="1">
      <c r="A1" s="1" t="inlineStr">
        <is>
          <t>BADS Day Case / Outpatient Improvement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Formula cells are highlighted in yellow; assumptions/source values are highlighted in green.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Initiative</t>
        </is>
      </c>
      <c r="B3" s="4" t="inlineStr">
        <is>
          <t>Baseline</t>
        </is>
      </c>
      <c r="C3" s="4" t="inlineStr">
        <is>
          <t>What if</t>
        </is>
      </c>
      <c r="D3" s="4" t="inlineStr">
        <is>
          <t>Metric</t>
        </is>
      </c>
      <c r="E3" s="4" t="inlineStr">
        <is>
          <t>Backlog</t>
        </is>
      </c>
      <c r="F3" s="4" t="inlineStr">
        <is>
          <t>Financial Efficiency Opportunity Low</t>
        </is>
      </c>
      <c r="G3" s="4" t="inlineStr">
        <is>
          <t>Financial Efficiency Opportunity High</t>
        </is>
      </c>
      <c r="H3" s="4" t="inlineStr">
        <is>
          <t>Waiting List Impact Low</t>
        </is>
      </c>
      <c r="I3" s="4" t="inlineStr">
        <is>
          <t>Waiting List Impact High</t>
        </is>
      </c>
      <c r="J3" s="4" t="inlineStr">
        <is>
          <t>Income Potential Low</t>
        </is>
      </c>
      <c r="K3" s="4" t="inlineStr">
        <is>
          <t>Income Potential High</t>
        </is>
      </c>
      <c r="L3" s="4" t="inlineStr">
        <is>
          <t>Evidence / caveat</t>
        </is>
      </c>
    </row>
    <row r="4">
      <c r="A4" s="2" t="inlineStr">
        <is>
          <t>BADS day case and outpatient improvement</t>
        </is>
      </c>
      <c r="B4" s="2" t="inlineStr">
        <is>
          <t>Model Hospital BADS All baseline: 67.9%</t>
        </is>
      </c>
      <c r="C4" s="2" t="inlineStr">
        <is>
          <t>Move to 85.7%</t>
        </is>
      </c>
      <c r="D4" s="5">
        <f>TEXT('Worked Calculation'!B6,"0.0%")&amp;" improvement; "&amp;TEXT('Worked Calculation'!B10,"#,##0")&amp;" shifted procedures"</f>
        <v/>
      </c>
      <c r="E4" s="6">
        <f>Inputs!B7</f>
        <v/>
      </c>
      <c r="F4" s="13">
        <f>'Worked Calculation'!B17</f>
        <v/>
      </c>
      <c r="G4" s="13">
        <f>'Worked Calculation'!B18</f>
        <v/>
      </c>
      <c r="H4" s="6">
        <f>'Worked Calculation'!B19</f>
        <v/>
      </c>
      <c r="I4" s="6">
        <f>'Worked Calculation'!B20</f>
        <v/>
      </c>
      <c r="J4" s="13">
        <f>'Worked Calculation'!B24</f>
        <v/>
      </c>
      <c r="K4" s="13">
        <f>'Worked Calculation'!B25</f>
        <v/>
      </c>
      <c r="L4" s="2" t="inlineStr">
        <is>
          <t>Uses 14,700 as a proxy denominator. Replace with actual Model Hospital BADS total procedures when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75" customWidth="1" min="3" max="3"/>
  </cols>
  <sheetData>
    <row r="1">
      <c r="A1" s="1" t="inlineStr">
        <is>
          <t>Inputs</t>
        </is>
      </c>
      <c r="B1" s="2" t="n"/>
      <c r="C1" s="2" t="n"/>
    </row>
    <row r="2">
      <c r="A2" s="3" t="inlineStr">
        <is>
          <t>Formula cells are highlighted in yellow; assumptions/source values are highlighted in green.</t>
        </is>
      </c>
      <c r="B2" s="2" t="n"/>
      <c r="C2" s="2" t="n"/>
    </row>
    <row r="3">
      <c r="A3" s="4" t="inlineStr">
        <is>
          <t>Input / source value</t>
        </is>
      </c>
      <c r="B3" s="4" t="inlineStr">
        <is>
          <t>Value</t>
        </is>
      </c>
      <c r="C3" s="4" t="inlineStr">
        <is>
          <t>Source / note</t>
        </is>
      </c>
    </row>
    <row r="4">
      <c r="A4" s="2" t="inlineStr">
        <is>
          <t>Model Hospital BADS All baseline</t>
        </is>
      </c>
      <c r="B4" s="14" t="n">
        <v>0.679</v>
      </c>
      <c r="C4" s="2" t="inlineStr">
        <is>
          <t>BADS All: day case and outpatient % of total procedures: inpatient + day case + outpatient</t>
        </is>
      </c>
    </row>
    <row r="5">
      <c r="A5" s="2" t="inlineStr">
        <is>
          <t>What-if target</t>
        </is>
      </c>
      <c r="B5" s="14" t="n">
        <v>0.857</v>
      </c>
      <c r="C5" s="2" t="inlineStr">
        <is>
          <t>National median / target supplied</t>
        </is>
      </c>
    </row>
    <row r="6">
      <c r="A6" s="2" t="inlineStr">
        <is>
          <t>Procedure denominator proxy</t>
        </is>
      </c>
      <c r="B6" s="9" t="n">
        <v>14700</v>
      </c>
      <c r="C6" s="2" t="inlineStr">
        <is>
          <t>Proxy denominator used for current scenario until actual Model Hospital BADS total procedure count is available</t>
        </is>
      </c>
    </row>
    <row r="7">
      <c r="A7" s="2" t="inlineStr">
        <is>
          <t>Opening RTT backlog</t>
        </is>
      </c>
      <c r="B7" s="9" t="n">
        <v>23086</v>
      </c>
      <c r="C7" s="2" t="inlineStr">
        <is>
          <t>Backlog baseline used in the opportunity tables</t>
        </is>
      </c>
    </row>
    <row r="8">
      <c r="A8" s="2" t="inlineStr">
        <is>
          <t>Bed-day cost</t>
        </is>
      </c>
      <c r="B8" s="15" t="n">
        <v>350</v>
      </c>
      <c r="C8" s="2" t="inlineStr">
        <is>
          <t>Cost avoidance assumption: GBP350 per bed day</t>
        </is>
      </c>
    </row>
    <row r="9">
      <c r="A9" s="2" t="inlineStr">
        <is>
          <t>Low bed days avoided per shifted procedure</t>
        </is>
      </c>
      <c r="B9" s="11" t="n">
        <v>1</v>
      </c>
      <c r="C9" s="2" t="inlineStr">
        <is>
          <t>Minimum assumption</t>
        </is>
      </c>
    </row>
    <row r="10">
      <c r="A10" s="2" t="inlineStr">
        <is>
          <t>High bed days avoided per shifted procedure</t>
        </is>
      </c>
      <c r="B10" s="11" t="n">
        <v>2.18</v>
      </c>
      <c r="C10" s="2" t="inlineStr">
        <is>
          <t>Observed ordinary elective LoS proxy used for high case</t>
        </is>
      </c>
    </row>
    <row r="11">
      <c r="A11" s="2" t="inlineStr">
        <is>
          <t>Source income value from previous utilisation model</t>
        </is>
      </c>
      <c r="B11" s="15" t="n">
        <v>577787</v>
      </c>
      <c r="C11" s="2" t="inlineStr">
        <is>
          <t>Definition: total extra-case income value (£577,787) from the user-shared utilisation/cash-up model. It is used only as an indicative gross income basis for extra cases/procedures, not as a confirmed tariff or a staff-cost saving.</t>
        </is>
      </c>
    </row>
    <row r="12">
      <c r="A12" s="2" t="inlineStr">
        <is>
          <t>Source extra cases from same previous model</t>
        </is>
      </c>
      <c r="B12" s="9" t="n">
        <v>5539</v>
      </c>
      <c r="C12" s="2" t="inlineStr">
        <is>
          <t>Definition: extra-case volume (5,539) attached to the same source income value. This keeps the income numerator and case denominator from the same source scenario.</t>
        </is>
      </c>
    </row>
    <row r="13">
      <c r="A13" s="2" t="inlineStr">
        <is>
          <t>Derived income per additional case proxy</t>
        </is>
      </c>
      <c r="B13" s="15">
        <f>B11/B12</f>
        <v/>
      </c>
      <c r="C13" s="2" t="inlineStr">
        <is>
          <t>Definition: average indicative income per extra case = £577,787 / 5,539 = c.£104.31. This is a proxy used only for income potential where additional activity is delivered; it should be replaced with an agreed tariff, income or contribution value if Finance provides 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75" customWidth="1" min="3" max="3"/>
  </cols>
  <sheetData>
    <row r="1">
      <c r="A1" s="1" t="inlineStr">
        <is>
          <t>Worked Calculation</t>
        </is>
      </c>
      <c r="B1" s="2" t="n"/>
      <c r="C1" s="2" t="n"/>
    </row>
    <row r="2">
      <c r="A2" s="3" t="inlineStr">
        <is>
          <t>Formula cells are highlighted in yellow; assumptions/source values are highlighted in green.</t>
        </is>
      </c>
      <c r="B2" s="2" t="n"/>
      <c r="C2" s="2" t="n"/>
    </row>
    <row r="3">
      <c r="A3" s="4" t="inlineStr">
        <is>
          <t>Step</t>
        </is>
      </c>
      <c r="B3" s="4" t="inlineStr">
        <is>
          <t>Value</t>
        </is>
      </c>
      <c r="C3" s="4" t="inlineStr">
        <is>
          <t>Formula / explanation</t>
        </is>
      </c>
    </row>
    <row r="4">
      <c r="A4" s="2" t="inlineStr">
        <is>
          <t>Baseline BADS rate</t>
        </is>
      </c>
      <c r="B4" s="16">
        <f>Inputs!B4</f>
        <v/>
      </c>
      <c r="C4" s="2" t="inlineStr">
        <is>
          <t>Model Hospital BADS All baseline</t>
        </is>
      </c>
    </row>
    <row r="5">
      <c r="A5" s="2" t="inlineStr">
        <is>
          <t>Target BADS rate</t>
        </is>
      </c>
      <c r="B5" s="16">
        <f>Inputs!B5</f>
        <v/>
      </c>
      <c r="C5" s="2" t="inlineStr">
        <is>
          <t>What-if target</t>
        </is>
      </c>
    </row>
    <row r="6">
      <c r="A6" s="2" t="inlineStr">
        <is>
          <t>Rate improvement</t>
        </is>
      </c>
      <c r="B6" s="16">
        <f>B5-B4</f>
        <v/>
      </c>
      <c r="C6" s="2" t="inlineStr">
        <is>
          <t>Target rate - baseline rate</t>
        </is>
      </c>
    </row>
    <row r="7">
      <c r="A7" s="2" t="inlineStr">
        <is>
          <t>Procedure denominator proxy</t>
        </is>
      </c>
      <c r="B7" s="6">
        <f>Inputs!B6</f>
        <v/>
      </c>
      <c r="C7" s="2" t="inlineStr">
        <is>
          <t>Total BADS procedures proxy: inpatient + day case + outpatient</t>
        </is>
      </c>
    </row>
    <row r="8">
      <c r="A8" s="2" t="inlineStr">
        <is>
          <t>Baseline day case + outpatient procedures</t>
        </is>
      </c>
      <c r="B8" s="6">
        <f>B7*B4</f>
        <v/>
      </c>
      <c r="C8" s="2" t="inlineStr">
        <is>
          <t>Denominator x baseline rate</t>
        </is>
      </c>
    </row>
    <row r="9">
      <c r="A9" s="2" t="inlineStr">
        <is>
          <t>Target day case + outpatient procedures</t>
        </is>
      </c>
      <c r="B9" s="6">
        <f>B7*B5</f>
        <v/>
      </c>
      <c r="C9" s="2" t="inlineStr">
        <is>
          <t>Denominator x target rate</t>
        </is>
      </c>
    </row>
    <row r="10">
      <c r="A10" s="2" t="inlineStr">
        <is>
          <t>Shifted procedures / additional day case or outpatient activity</t>
        </is>
      </c>
      <c r="B10" s="6">
        <f>B7*B6</f>
        <v/>
      </c>
      <c r="C10" s="2" t="inlineStr">
        <is>
          <t>Denominator x rate improvement</t>
        </is>
      </c>
    </row>
    <row r="11">
      <c r="A11" s="2" t="inlineStr">
        <is>
          <t>Opening RTT backlog</t>
        </is>
      </c>
      <c r="B11" s="6">
        <f>Inputs!B7</f>
        <v/>
      </c>
      <c r="C11" s="2" t="inlineStr">
        <is>
          <t>Backlog baseline</t>
        </is>
      </c>
    </row>
    <row r="12">
      <c r="A12" s="2" t="inlineStr">
        <is>
          <t>Low bed days avoided per shifted procedure</t>
        </is>
      </c>
      <c r="B12" s="6">
        <f>Inputs!B9</f>
        <v/>
      </c>
      <c r="C12" s="2" t="inlineStr">
        <is>
          <t>Low assumption</t>
        </is>
      </c>
    </row>
    <row r="13">
      <c r="A13" s="2" t="inlineStr">
        <is>
          <t>High bed days avoided per shifted procedure</t>
        </is>
      </c>
      <c r="B13" s="6">
        <f>Inputs!B10</f>
        <v/>
      </c>
      <c r="C13" s="2" t="inlineStr">
        <is>
          <t>High assumption</t>
        </is>
      </c>
    </row>
    <row r="14">
      <c r="A14" s="2" t="inlineStr">
        <is>
          <t>Bed-day cost</t>
        </is>
      </c>
      <c r="B14" s="13">
        <f>Inputs!B8</f>
        <v/>
      </c>
      <c r="C14" s="2" t="inlineStr">
        <is>
          <t>GBP per bed day</t>
        </is>
      </c>
    </row>
    <row r="15">
      <c r="A15" s="2" t="inlineStr">
        <is>
          <t>Avoided bed days low</t>
        </is>
      </c>
      <c r="B15" s="6">
        <f>B10*B12</f>
        <v/>
      </c>
      <c r="C15" s="2" t="inlineStr">
        <is>
          <t>Shifted procedures x low bed-day assumption</t>
        </is>
      </c>
    </row>
    <row r="16">
      <c r="A16" s="2" t="inlineStr">
        <is>
          <t>Avoided bed days high</t>
        </is>
      </c>
      <c r="B16" s="6">
        <f>B10*B13</f>
        <v/>
      </c>
      <c r="C16" s="2" t="inlineStr">
        <is>
          <t>Shifted procedures x high bed-day assumption</t>
        </is>
      </c>
    </row>
    <row r="17">
      <c r="A17" s="2" t="inlineStr">
        <is>
          <t>Financial efficiency low</t>
        </is>
      </c>
      <c r="B17" s="13">
        <f>B15*B14</f>
        <v/>
      </c>
      <c r="C17" s="2" t="inlineStr">
        <is>
          <t>Avoided bed days low x bed-day cost</t>
        </is>
      </c>
    </row>
    <row r="18">
      <c r="A18" s="2" t="inlineStr">
        <is>
          <t>Financial efficiency high</t>
        </is>
      </c>
      <c r="B18" s="13">
        <f>B16*B14</f>
        <v/>
      </c>
      <c r="C18" s="2" t="inlineStr">
        <is>
          <t>Avoided bed days high x bed-day cost</t>
        </is>
      </c>
    </row>
    <row r="19">
      <c r="A19" s="2" t="inlineStr">
        <is>
          <t>Waiting list impact low</t>
        </is>
      </c>
      <c r="B19" s="6">
        <f>0</f>
        <v/>
      </c>
      <c r="C19" s="2" t="inlineStr">
        <is>
          <t>No automatic RTT reduction unless released capacity is reinvested</t>
        </is>
      </c>
    </row>
    <row r="20">
      <c r="A20" s="2" t="inlineStr">
        <is>
          <t>Waiting list impact high</t>
        </is>
      </c>
      <c r="B20" s="6">
        <f>B10</f>
        <v/>
      </c>
      <c r="C20" s="2" t="inlineStr">
        <is>
          <t>If fully reinvested: one shifted procedure supports one RTT pathway</t>
        </is>
      </c>
    </row>
    <row r="21">
      <c r="A21" s="2" t="inlineStr">
        <is>
          <t>Backlog reduction high %</t>
        </is>
      </c>
      <c r="B21" s="6">
        <f>B20/B11</f>
        <v/>
      </c>
      <c r="C21" s="2" t="inlineStr">
        <is>
          <t>Waiting-list impact high / opening RTT backlog</t>
        </is>
      </c>
    </row>
    <row r="22">
      <c r="A22" s="2" t="inlineStr">
        <is>
          <t>Closing backlog high</t>
        </is>
      </c>
      <c r="B22" s="16">
        <f>B11-B20</f>
        <v/>
      </c>
      <c r="C22" s="2" t="inlineStr">
        <is>
          <t>Opening RTT backlog - waiting-list impact high</t>
        </is>
      </c>
    </row>
    <row r="23">
      <c r="A23" s="2" t="inlineStr">
        <is>
          <t>Income per case proxy</t>
        </is>
      </c>
      <c r="B23" s="13">
        <f>Inputs!B13</f>
        <v/>
      </c>
      <c r="C23" s="2" t="inlineStr">
        <is>
          <t>Derived proxy: source income value (£577,787) divided by source extra cases (5,539), giving c.£104.31 per additional case.</t>
        </is>
      </c>
    </row>
    <row r="24">
      <c r="A24" s="2" t="inlineStr">
        <is>
          <t>Income potential low</t>
        </is>
      </c>
      <c r="B24" s="13">
        <f>0</f>
        <v/>
      </c>
      <c r="C24" s="2" t="inlineStr">
        <is>
          <t>No additional activity delivered</t>
        </is>
      </c>
    </row>
    <row r="25">
      <c r="A25" s="2" t="inlineStr">
        <is>
          <t>Income potential high</t>
        </is>
      </c>
      <c r="B25" s="13">
        <f>B10*B23</f>
        <v/>
      </c>
      <c r="C25" s="2" t="inlineStr">
        <is>
          <t>Shifted / additional cases x derived income per case proxy. This is a gross income-potential lens only and applies only if capacity is used to deliver extra activity.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45" customWidth="1" min="2" max="2"/>
    <col width="75" customWidth="1" min="3" max="3"/>
    <col width="75" customWidth="1" min="4" max="4"/>
  </cols>
  <sheetData>
    <row r="1">
      <c r="A1" s="1" t="inlineStr">
        <is>
          <t>Formula Trace</t>
        </is>
      </c>
      <c r="B1" s="2" t="n"/>
      <c r="C1" s="2" t="n"/>
    </row>
    <row r="2">
      <c r="A2" s="3" t="inlineStr">
        <is>
          <t>Formula cells are highlighted in yellow; assumptions/source values are highlighted in green.</t>
        </is>
      </c>
      <c r="B2" s="2" t="n"/>
      <c r="C2" s="2" t="n"/>
    </row>
    <row r="3">
      <c r="A3" s="4" t="inlineStr">
        <is>
          <t>Output</t>
        </is>
      </c>
      <c r="B3" s="4" t="inlineStr">
        <is>
          <t>Formula</t>
        </is>
      </c>
      <c r="C3" s="4" t="inlineStr">
        <is>
          <t>Explanation</t>
        </is>
      </c>
    </row>
    <row r="4">
      <c r="A4" s="2" t="inlineStr">
        <is>
          <t>BADS baseline</t>
        </is>
      </c>
      <c r="B4" s="2" t="inlineStr">
        <is>
          <t>67.9%</t>
        </is>
      </c>
      <c r="C4" s="2" t="inlineStr">
        <is>
          <t>Model Hospital BADS All: day case and outpatient % of total procedures, where total procedures = inpatient + day case + outpatient.</t>
        </is>
      </c>
    </row>
    <row r="5">
      <c r="A5" s="2" t="inlineStr">
        <is>
          <t>Target</t>
        </is>
      </c>
      <c r="B5" s="2" t="inlineStr">
        <is>
          <t>85.7%</t>
        </is>
      </c>
      <c r="C5" s="2" t="inlineStr">
        <is>
          <t>What-if target / national median supplied.</t>
        </is>
      </c>
    </row>
    <row r="6">
      <c r="A6" s="2" t="inlineStr">
        <is>
          <t>Rate improvement</t>
        </is>
      </c>
      <c r="B6" s="2" t="inlineStr">
        <is>
          <t>85.7% - 67.9% = 17.8 percentage points</t>
        </is>
      </c>
      <c r="C6" s="2" t="inlineStr">
        <is>
          <t>Shows the proportion of procedures shifted into day case/outpatient setting.</t>
        </is>
      </c>
    </row>
    <row r="7">
      <c r="A7" s="2" t="inlineStr">
        <is>
          <t>Shifted procedures</t>
        </is>
      </c>
      <c r="B7" s="2" t="inlineStr">
        <is>
          <t>Procedure denominator proxy x 17.8%</t>
        </is>
      </c>
      <c r="C7" s="2" t="inlineStr">
        <is>
          <t>Uses 14,700 proxy denominator until actual Model Hospital BADS procedure denominator is available.</t>
        </is>
      </c>
    </row>
    <row r="8">
      <c r="A8" s="2" t="inlineStr">
        <is>
          <t>Financial efficiency low</t>
        </is>
      </c>
      <c r="B8" s="2" t="inlineStr">
        <is>
          <t>Shifted procedures x 1 bed day x GBP350</t>
        </is>
      </c>
      <c r="C8" s="2" t="inlineStr">
        <is>
          <t>Low cost-avoidance assumption.</t>
        </is>
      </c>
    </row>
    <row r="9">
      <c r="A9" s="2" t="inlineStr">
        <is>
          <t>Financial efficiency high</t>
        </is>
      </c>
      <c r="B9" s="2" t="inlineStr">
        <is>
          <t>Shifted procedures x 2.18 bed days x GBP350</t>
        </is>
      </c>
      <c r="C9" s="2" t="inlineStr">
        <is>
          <t>High cost-avoidance assumption using LoS proxy.</t>
        </is>
      </c>
    </row>
    <row r="10">
      <c r="A10" s="2" t="inlineStr">
        <is>
          <t>Waiting list impact low</t>
        </is>
      </c>
      <c r="B10" s="2" t="inlineStr">
        <is>
          <t>0</t>
        </is>
      </c>
      <c r="C10" s="2" t="inlineStr">
        <is>
          <t>No automatic backlog reduction from setting shift unless capacity is reinvested.</t>
        </is>
      </c>
    </row>
    <row r="11">
      <c r="A11" s="2" t="inlineStr">
        <is>
          <t>Waiting list impact high</t>
        </is>
      </c>
      <c r="B11" s="2" t="inlineStr">
        <is>
          <t>Shifted procedures</t>
        </is>
      </c>
      <c r="C11" s="2" t="inlineStr">
        <is>
          <t>Assumes every shifted procedure releases capacity for one RTT pathway.</t>
        </is>
      </c>
    </row>
    <row r="12">
      <c r="A12" s="2" t="inlineStr">
        <is>
          <t>Income potential high</t>
        </is>
      </c>
      <c r="B12" s="2" t="inlineStr">
        <is>
          <t>Shifted procedures x income per case proxy</t>
        </is>
      </c>
      <c r="C12" s="2" t="inlineStr">
        <is>
          <t>Income proxy = GBP577,787 / 5,539.</t>
        </is>
      </c>
    </row>
    <row r="13">
      <c r="A13" s="17" t="inlineStr">
        <is>
          <t>Income proxy</t>
        </is>
      </c>
      <c r="B13" s="17" t="inlineStr">
        <is>
          <t>Derived income per additional case proxy</t>
        </is>
      </c>
      <c r="C13" s="17" t="inlineStr">
        <is>
          <t>£577,787 / 5,539 = c.£104.31 per additional case</t>
        </is>
      </c>
      <c r="D13" s="17" t="inlineStr">
        <is>
          <t>Source values come from the same user-shared utilisation/cash-up model scenario. This proxy is for gross income potential only, not a confirmed tariff or cost saving.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2026-06-08T10:27:23Z</dcterms:created>
  <dcterms:modified xmlns:dcterms="http://purl.org/dc/terms/" xmlns:xsi="http://www.w3.org/2001/XMLSchema-instance" xsi:type="dcterms:W3CDTF">2026-06-08T10:39:15Z</dcterms:modified>
</cp:coreProperties>
</file>