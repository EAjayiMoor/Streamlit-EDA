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y Case Rate" sheetId="3" state="visible" r:id="rId3"/>
    <sheet xmlns:r="http://schemas.openxmlformats.org/officeDocument/2006/relationships" name="Estate Utilisation" sheetId="4" state="visible" r:id="rId4"/>
    <sheet xmlns:r="http://schemas.openxmlformats.org/officeDocument/2006/relationships" name="Theatre Capacity" sheetId="5" state="visible" r:id="rId5"/>
    <sheet xmlns:r="http://schemas.openxmlformats.org/officeDocument/2006/relationships" name="Notes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£#,##0"/>
  </numFmts>
  <fonts count="4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3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</cols>
  <sheetData>
    <row r="1">
      <c r="A1" s="1" t="inlineStr">
        <is>
          <t>Simple Opportunity Inputs</t>
        </is>
      </c>
      <c r="B1" s="2" t="n"/>
      <c r="C1" s="2" t="n"/>
    </row>
    <row r="2">
      <c r="A2" s="3" t="inlineStr">
        <is>
          <t>Only change the yellow input cells. All workings use simple formulas.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Note</t>
        </is>
      </c>
    </row>
    <row r="5">
      <c r="A5" s="2" t="inlineStr">
        <is>
          <t>Backlog baseline</t>
        </is>
      </c>
      <c r="B5" s="5" t="n">
        <v>23086</v>
      </c>
      <c r="C5" s="2" t="inlineStr">
        <is>
          <t>Surgical RTT backlog baseline used for waiting-list percentage calculations</t>
        </is>
      </c>
    </row>
    <row r="6">
      <c r="A6" s="2" t="inlineStr">
        <is>
          <t>Current day case rate</t>
        </is>
      </c>
      <c r="B6" s="6" t="n">
        <v>0.679</v>
      </c>
      <c r="C6" s="2" t="inlineStr">
        <is>
          <t>Baseline rate</t>
        </is>
      </c>
    </row>
    <row r="7">
      <c r="A7" s="2" t="inlineStr">
        <is>
          <t>Day case target low</t>
        </is>
      </c>
      <c r="B7" s="6" t="n">
        <v>0.785</v>
      </c>
      <c r="C7" s="2" t="inlineStr">
        <is>
          <t>Low what-if target</t>
        </is>
      </c>
    </row>
    <row r="8">
      <c r="A8" s="2" t="inlineStr">
        <is>
          <t>Day case target high</t>
        </is>
      </c>
      <c r="B8" s="6" t="n">
        <v>0.857</v>
      </c>
      <c r="C8" s="2" t="inlineStr">
        <is>
          <t>High what-if target</t>
        </is>
      </c>
    </row>
    <row r="9">
      <c r="A9" s="2" t="inlineStr">
        <is>
          <t>Day case financial value per shifted case</t>
        </is>
      </c>
      <c r="B9" s="7" t="n">
        <v>350</v>
      </c>
      <c r="C9" s="2" t="inlineStr">
        <is>
          <t>Financial efficiency value used for day case shifted cases</t>
        </is>
      </c>
    </row>
    <row r="10">
      <c r="A10" s="2" t="inlineStr">
        <is>
          <t>Income per additional case assumption</t>
        </is>
      </c>
      <c r="B10" s="7" t="n">
        <v>500</v>
      </c>
      <c r="C10" s="2" t="inlineStr">
        <is>
          <t>Used only where released capacity is assumed to deliver additional funded activity</t>
        </is>
      </c>
    </row>
    <row r="11">
      <c r="A11" s="2" t="inlineStr">
        <is>
          <t>Current estate utilisation</t>
        </is>
      </c>
      <c r="B11" s="6" t="n">
        <v>0.78</v>
      </c>
      <c r="C11" s="2" t="inlineStr">
        <is>
          <t>Current estate utilisation baseline</t>
        </is>
      </c>
    </row>
    <row r="12">
      <c r="A12" s="2" t="inlineStr">
        <is>
          <t>Estate target low</t>
        </is>
      </c>
      <c r="B12" s="6" t="n">
        <v>0.85</v>
      </c>
      <c r="C12" s="2" t="inlineStr">
        <is>
          <t>Low what-if target</t>
        </is>
      </c>
    </row>
    <row r="13">
      <c r="A13" s="2" t="inlineStr">
        <is>
          <t>Estate target high</t>
        </is>
      </c>
      <c r="B13" s="6" t="n">
        <v>0.95</v>
      </c>
      <c r="C13" s="2" t="inlineStr">
        <is>
          <t>High what-if target</t>
        </is>
      </c>
    </row>
    <row r="14">
      <c r="A14" s="2" t="inlineStr">
        <is>
          <t>Estate baseline elective sessions</t>
        </is>
      </c>
      <c r="B14" s="5" t="n">
        <v>3361</v>
      </c>
      <c r="C14" s="2" t="inlineStr">
        <is>
          <t>Baseline elective sessions</t>
        </is>
      </c>
    </row>
    <row r="15">
      <c r="A15" s="2" t="inlineStr">
        <is>
          <t>Estate baseline elective cases</t>
        </is>
      </c>
      <c r="B15" s="5" t="n">
        <v>7856</v>
      </c>
      <c r="C15" s="2" t="inlineStr">
        <is>
          <t>Baseline completed elective cases</t>
        </is>
      </c>
    </row>
    <row r="16">
      <c r="A16" s="2" t="inlineStr">
        <is>
          <t>Estate financial value per additional session</t>
        </is>
      </c>
      <c r="B16" s="7" t="n">
        <v>500</v>
      </c>
      <c r="C16" s="2" t="inlineStr">
        <is>
          <t>Financial efficiency/session value</t>
        </is>
      </c>
    </row>
    <row r="17">
      <c r="A17" s="2" t="inlineStr">
        <is>
          <t>Theatre capacity low extra cases</t>
        </is>
      </c>
      <c r="B17" s="5" t="n">
        <v>4700</v>
      </c>
      <c r="C17" s="2" t="inlineStr">
        <is>
          <t>Current model low case volume: 82% utilisation + 20% HVLC</t>
        </is>
      </c>
    </row>
    <row r="18">
      <c r="A18" s="2" t="inlineStr">
        <is>
          <t>Theatre capacity high extra cases</t>
        </is>
      </c>
      <c r="B18" s="5" t="n">
        <v>5539</v>
      </c>
      <c r="C18" s="2" t="inlineStr">
        <is>
          <t>Current model high case volume: 85% utilisation + 30% HVLC</t>
        </is>
      </c>
    </row>
    <row r="19">
      <c r="A19" s="2" t="inlineStr">
        <is>
          <t>Theatre capacity low financial efficiency</t>
        </is>
      </c>
      <c r="B19" s="7" t="n">
        <v>957399.03</v>
      </c>
      <c r="C19" s="2" t="inlineStr">
        <is>
          <t>Source financial value from shared scenario table</t>
        </is>
      </c>
    </row>
    <row r="20">
      <c r="A20" s="2" t="inlineStr">
        <is>
          <t>Theatre capacity high financial efficiency</t>
        </is>
      </c>
      <c r="B20" s="7" t="n">
        <v>1117353.45</v>
      </c>
      <c r="C20" s="2" t="inlineStr">
        <is>
          <t>Source financial value from shared scenario table</t>
        </is>
      </c>
    </row>
    <row r="21">
      <c r="A21" s="2" t="inlineStr">
        <is>
          <t>50% job-plan case component</t>
        </is>
      </c>
      <c r="B21" s="5" t="n">
        <v>2729</v>
      </c>
      <c r="C21" s="2" t="inlineStr">
        <is>
          <t>Optional sensitivity: remove/add this to model no-job-plan or all-job-plan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8" customWidth="1" min="3" max="3"/>
    <col width="28" customWidth="1" min="4" max="4"/>
    <col width="27" customWidth="1" min="5" max="5"/>
    <col width="27" customWidth="1" min="6" max="6"/>
    <col width="27" customWidth="1" min="7" max="7"/>
    <col width="27" customWidth="1" min="8" max="8"/>
    <col width="28" customWidth="1" min="9" max="9"/>
    <col width="29" customWidth="1" min="10" max="10"/>
    <col width="27" customWidth="1" min="11" max="11"/>
    <col width="27" customWidth="1" min="12" max="12"/>
    <col width="42" customWidth="1" min="13" max="13"/>
  </cols>
  <sheetData>
    <row r="1">
      <c r="A1" s="1" t="inlineStr">
        <is>
          <t>Simple Financial and Backlog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Linked to the workings tabs. Values recalculate when inputs change.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4" t="inlineStr">
        <is>
          <t>Initiative</t>
        </is>
      </c>
      <c r="B4" s="4" t="inlineStr">
        <is>
          <t>Baseline</t>
        </is>
      </c>
      <c r="C4" s="4" t="inlineStr">
        <is>
          <t>Low what-if</t>
        </is>
      </c>
      <c r="D4" s="4" t="inlineStr">
        <is>
          <t>High what-if</t>
        </is>
      </c>
      <c r="E4" s="4" t="inlineStr">
        <is>
          <t>Financial efficiency low</t>
        </is>
      </c>
      <c r="F4" s="4" t="inlineStr">
        <is>
          <t>Financial efficiency high</t>
        </is>
      </c>
      <c r="G4" s="4" t="inlineStr">
        <is>
          <t>Waiting list impact low</t>
        </is>
      </c>
      <c r="H4" s="4" t="inlineStr">
        <is>
          <t>Waiting list impact high</t>
        </is>
      </c>
      <c r="I4" s="4" t="inlineStr">
        <is>
          <t>Waiting list reduction low</t>
        </is>
      </c>
      <c r="J4" s="4" t="inlineStr">
        <is>
          <t>Waiting list reduction high</t>
        </is>
      </c>
      <c r="K4" s="4" t="inlineStr">
        <is>
          <t>Income potential low</t>
        </is>
      </c>
      <c r="L4" s="4" t="inlineStr">
        <is>
          <t>Income potential high</t>
        </is>
      </c>
      <c r="M4" s="4" t="inlineStr">
        <is>
          <t>Calculation note</t>
        </is>
      </c>
    </row>
    <row r="5">
      <c r="A5" s="2" t="inlineStr">
        <is>
          <t>Day case rate improvement</t>
        </is>
      </c>
      <c r="B5" s="2" t="inlineStr">
        <is>
          <t>67.9% day case rate; backlog 23,086</t>
        </is>
      </c>
      <c r="C5" s="2" t="inlineStr">
        <is>
          <t>Move to 78.5%</t>
        </is>
      </c>
      <c r="D5" s="2" t="inlineStr">
        <is>
          <t>Move to 85.7%</t>
        </is>
      </c>
      <c r="E5" s="8">
        <f>'Day Case Rate'!B11</f>
        <v/>
      </c>
      <c r="F5" s="8">
        <f>'Day Case Rate'!C11</f>
        <v/>
      </c>
      <c r="G5" s="9">
        <f>'Day Case Rate'!B9</f>
        <v/>
      </c>
      <c r="H5" s="9">
        <f>'Day Case Rate'!C9</f>
        <v/>
      </c>
      <c r="I5" s="10">
        <f>'Day Case Rate'!B10</f>
        <v/>
      </c>
      <c r="J5" s="10">
        <f>'Day Case Rate'!C10</f>
        <v/>
      </c>
      <c r="K5" s="8">
        <f>'Day Case Rate'!B12</f>
        <v/>
      </c>
      <c r="L5" s="8">
        <f>'Day Case Rate'!C12</f>
        <v/>
      </c>
      <c r="M5" s="2" t="inlineStr">
        <is>
          <t>Cases = backlog x rate improvement. Efficiency = cases x £350. Income is shown only if released capacity is used for additional funded cases.</t>
        </is>
      </c>
    </row>
    <row r="6">
      <c r="A6" s="2" t="inlineStr">
        <is>
          <t>Estate utilisation</t>
        </is>
      </c>
      <c r="B6" s="2" t="inlineStr">
        <is>
          <t>78% estate utilisation; 3,361 sessions; 7,856 cases</t>
        </is>
      </c>
      <c r="C6" s="2" t="inlineStr">
        <is>
          <t>Move to 85%</t>
        </is>
      </c>
      <c r="D6" s="2" t="inlineStr">
        <is>
          <t>Move to 95%</t>
        </is>
      </c>
      <c r="E6" s="8">
        <f>'Estate Utilisation'!B11</f>
        <v/>
      </c>
      <c r="F6" s="8">
        <f>'Estate Utilisation'!C11</f>
        <v/>
      </c>
      <c r="G6" s="9">
        <f>'Estate Utilisation'!B12</f>
        <v/>
      </c>
      <c r="H6" s="9">
        <f>'Estate Utilisation'!C12</f>
        <v/>
      </c>
      <c r="I6" s="10">
        <f>'Estate Utilisation'!B13</f>
        <v/>
      </c>
      <c r="J6" s="10">
        <f>'Estate Utilisation'!C13</f>
        <v/>
      </c>
      <c r="K6" s="8">
        <f>'Estate Utilisation'!B14</f>
        <v/>
      </c>
      <c r="L6" s="8">
        <f>'Estate Utilisation'!C14</f>
        <v/>
      </c>
      <c r="M6" s="2" t="inlineStr">
        <is>
          <t>Extra sessions = sessions x ((target/current)-1). Efficiency = sessions x £500. Income = extra cases x £500.</t>
        </is>
      </c>
    </row>
    <row r="7">
      <c r="A7" s="2" t="inlineStr">
        <is>
          <t>Theatre capacity/utilisation current range</t>
        </is>
      </c>
      <c r="B7" s="2" t="inlineStr">
        <is>
          <t>Shared current model range</t>
        </is>
      </c>
      <c r="C7" s="2" t="inlineStr">
        <is>
          <t>82% utilisation + 20% HVLC</t>
        </is>
      </c>
      <c r="D7" s="2" t="inlineStr">
        <is>
          <t>85% utilisation + 30% HVLC</t>
        </is>
      </c>
      <c r="E7" s="8">
        <f>'Theatre Capacity'!B7</f>
        <v/>
      </c>
      <c r="F7" s="8">
        <f>'Theatre Capacity'!C7</f>
        <v/>
      </c>
      <c r="G7" s="9">
        <f>'Theatre Capacity'!B6</f>
        <v/>
      </c>
      <c r="H7" s="9">
        <f>'Theatre Capacity'!C6</f>
        <v/>
      </c>
      <c r="I7" s="10">
        <f>'Theatre Capacity'!B8</f>
        <v/>
      </c>
      <c r="J7" s="10">
        <f>'Theatre Capacity'!C8</f>
        <v/>
      </c>
      <c r="K7" s="8">
        <f>'Theatre Capacity'!B9</f>
        <v/>
      </c>
      <c r="L7" s="8">
        <f>'Theatre Capacity'!C9</f>
        <v/>
      </c>
      <c r="M7" s="2" t="inlineStr">
        <is>
          <t>Financial values are source values from the shared table. Waiting-list % = cases / backlog.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42" customWidth="1" min="4" max="4"/>
  </cols>
  <sheetData>
    <row r="1">
      <c r="A1" s="1" t="inlineStr">
        <is>
          <t>Day Case Rate Workings</t>
        </is>
      </c>
      <c r="B1" s="2" t="n"/>
      <c r="C1" s="2" t="n"/>
      <c r="D1" s="2" t="n"/>
    </row>
    <row r="2">
      <c r="A2" s="3" t="inlineStr">
        <is>
          <t>Additional cases = backlog x (target rate - current rate).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Step</t>
        </is>
      </c>
      <c r="B4" s="4" t="inlineStr">
        <is>
          <t>Low target</t>
        </is>
      </c>
      <c r="C4" s="4" t="inlineStr">
        <is>
          <t>High target</t>
        </is>
      </c>
      <c r="D4" s="4" t="inlineStr">
        <is>
          <t>Simple formula / note</t>
        </is>
      </c>
    </row>
    <row r="5">
      <c r="A5" s="2" t="inlineStr">
        <is>
          <t>Backlog baseline</t>
        </is>
      </c>
      <c r="B5" s="9">
        <f>Inputs!B5</f>
        <v/>
      </c>
      <c r="C5" s="9">
        <f>Inputs!B5</f>
        <v/>
      </c>
      <c r="D5" s="2" t="inlineStr">
        <is>
          <t>Input backlog baseline</t>
        </is>
      </c>
    </row>
    <row r="6">
      <c r="A6" s="2" t="inlineStr">
        <is>
          <t>Current day case rate</t>
        </is>
      </c>
      <c r="B6" s="10">
        <f>Inputs!B6</f>
        <v/>
      </c>
      <c r="C6" s="10">
        <f>Inputs!B6</f>
        <v/>
      </c>
      <c r="D6" s="2" t="inlineStr">
        <is>
          <t>Baseline rate</t>
        </is>
      </c>
    </row>
    <row r="7">
      <c r="A7" s="2" t="inlineStr">
        <is>
          <t>Target day case rate</t>
        </is>
      </c>
      <c r="B7" s="10">
        <f>Inputs!B7</f>
        <v/>
      </c>
      <c r="C7" s="10">
        <f>Inputs!B8</f>
        <v/>
      </c>
      <c r="D7" s="2" t="inlineStr">
        <is>
          <t>Low and high target rates</t>
        </is>
      </c>
    </row>
    <row r="8">
      <c r="A8" s="2" t="inlineStr">
        <is>
          <t>Rate improvement</t>
        </is>
      </c>
      <c r="B8" s="10">
        <f>B7-B6</f>
        <v/>
      </c>
      <c r="C8" s="10">
        <f>C7-C6</f>
        <v/>
      </c>
      <c r="D8" s="2" t="inlineStr">
        <is>
          <t>Target rate - current rate</t>
        </is>
      </c>
    </row>
    <row r="9">
      <c r="A9" s="2" t="inlineStr">
        <is>
          <t>Additional shifted cases</t>
        </is>
      </c>
      <c r="B9" s="9">
        <f>B5*B8</f>
        <v/>
      </c>
      <c r="C9" s="9">
        <f>C5*C8</f>
        <v/>
      </c>
      <c r="D9" s="2" t="inlineStr">
        <is>
          <t>Backlog x rate improvement</t>
        </is>
      </c>
    </row>
    <row r="10">
      <c r="A10" s="2" t="inlineStr">
        <is>
          <t>Waiting list reduction %</t>
        </is>
      </c>
      <c r="B10" s="10">
        <f>B9/B5</f>
        <v/>
      </c>
      <c r="C10" s="10">
        <f>C9/C5</f>
        <v/>
      </c>
      <c r="D10" s="2" t="inlineStr">
        <is>
          <t>Additional cases / backlog</t>
        </is>
      </c>
    </row>
    <row r="11">
      <c r="A11" s="2" t="inlineStr">
        <is>
          <t>Financial efficiency opportunity</t>
        </is>
      </c>
      <c r="B11" s="8">
        <f>B9*Inputs!B9</f>
        <v/>
      </c>
      <c r="C11" s="8">
        <f>C9*Inputs!B9</f>
        <v/>
      </c>
      <c r="D11" s="2" t="inlineStr">
        <is>
          <t>Additional cases x £350</t>
        </is>
      </c>
    </row>
    <row r="12">
      <c r="A12" s="2" t="inlineStr">
        <is>
          <t>Income potential if capacity reused</t>
        </is>
      </c>
      <c r="B12" s="8">
        <f>B9*Inputs!B10</f>
        <v/>
      </c>
      <c r="C12" s="8">
        <f>C9*Inputs!B10</f>
        <v/>
      </c>
      <c r="D12" s="2" t="inlineStr">
        <is>
          <t>Additional cases x £500. Do not add to efficiency unless Finance agrees capacity creates funded extra activity.</t>
        </is>
      </c>
    </row>
    <row r="13">
      <c r="A13" s="2" t="inlineStr">
        <is>
          <t>Closing backlog</t>
        </is>
      </c>
      <c r="B13" s="9">
        <f>B5-B9</f>
        <v/>
      </c>
      <c r="C13" s="9">
        <f>C5-C9</f>
        <v/>
      </c>
      <c r="D13" s="2" t="inlineStr">
        <is>
          <t>Backlog - additional cases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  <col width="42" customWidth="1" min="4" max="4"/>
  </cols>
  <sheetData>
    <row r="1">
      <c r="A1" s="1" t="inlineStr">
        <is>
          <t>Estate Utilisation Workings</t>
        </is>
      </c>
      <c r="B1" s="2" t="n"/>
      <c r="C1" s="2" t="n"/>
      <c r="D1" s="2" t="n"/>
    </row>
    <row r="2">
      <c r="A2" s="3" t="inlineStr">
        <is>
          <t>Additional sessions = baseline sessions x ((target utilisation / current utilisation) - 1).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Step</t>
        </is>
      </c>
      <c r="B4" s="4" t="inlineStr">
        <is>
          <t>Low target</t>
        </is>
      </c>
      <c r="C4" s="4" t="inlineStr">
        <is>
          <t>High target</t>
        </is>
      </c>
      <c r="D4" s="4" t="inlineStr">
        <is>
          <t>Simple formula / note</t>
        </is>
      </c>
    </row>
    <row r="5">
      <c r="A5" s="2" t="inlineStr">
        <is>
          <t>Current estate utilisation</t>
        </is>
      </c>
      <c r="B5" s="10">
        <f>Inputs!B11</f>
        <v/>
      </c>
      <c r="C5" s="10">
        <f>Inputs!B11</f>
        <v/>
      </c>
      <c r="D5" s="2" t="inlineStr">
        <is>
          <t>Input current utilisation</t>
        </is>
      </c>
    </row>
    <row r="6">
      <c r="A6" s="2" t="inlineStr">
        <is>
          <t>Target estate utilisation</t>
        </is>
      </c>
      <c r="B6" s="10">
        <f>Inputs!B12</f>
        <v/>
      </c>
      <c r="C6" s="10">
        <f>Inputs!B13</f>
        <v/>
      </c>
      <c r="D6" s="2" t="inlineStr">
        <is>
          <t>Low and high targets</t>
        </is>
      </c>
    </row>
    <row r="7">
      <c r="A7" s="2" t="inlineStr">
        <is>
          <t>Baseline elective sessions</t>
        </is>
      </c>
      <c r="B7" s="9">
        <f>Inputs!B14</f>
        <v/>
      </c>
      <c r="C7" s="9">
        <f>Inputs!B14</f>
        <v/>
      </c>
      <c r="D7" s="2" t="inlineStr">
        <is>
          <t>Input baseline sessions</t>
        </is>
      </c>
    </row>
    <row r="8">
      <c r="A8" s="2" t="inlineStr">
        <is>
          <t>Baseline elective cases</t>
        </is>
      </c>
      <c r="B8" s="9">
        <f>Inputs!B15</f>
        <v/>
      </c>
      <c r="C8" s="9">
        <f>Inputs!B15</f>
        <v/>
      </c>
      <c r="D8" s="2" t="inlineStr">
        <is>
          <t>Input baseline cases</t>
        </is>
      </c>
    </row>
    <row r="9">
      <c r="A9" s="2" t="inlineStr">
        <is>
          <t>Average cases per list</t>
        </is>
      </c>
      <c r="B9" s="11">
        <f>B8/B7</f>
        <v/>
      </c>
      <c r="C9" s="11">
        <f>C8/C7</f>
        <v/>
      </c>
      <c r="D9" s="2" t="inlineStr">
        <is>
          <t>Baseline cases / baseline sessions</t>
        </is>
      </c>
    </row>
    <row r="10">
      <c r="A10" s="2" t="inlineStr">
        <is>
          <t>Additional sessions</t>
        </is>
      </c>
      <c r="B10" s="9">
        <f>B7*((B6/B5)-1)</f>
        <v/>
      </c>
      <c r="C10" s="9">
        <f>C7*((C6/C5)-1)</f>
        <v/>
      </c>
      <c r="D10" s="2" t="inlineStr">
        <is>
          <t>Sessions x ((target/current)-1)</t>
        </is>
      </c>
    </row>
    <row r="11">
      <c r="A11" s="2" t="inlineStr">
        <is>
          <t>Financial efficiency opportunity</t>
        </is>
      </c>
      <c r="B11" s="8">
        <f>B10*Inputs!B16</f>
        <v/>
      </c>
      <c r="C11" s="8">
        <f>C10*Inputs!B16</f>
        <v/>
      </c>
      <c r="D11" s="2" t="inlineStr">
        <is>
          <t>Additional sessions x £500</t>
        </is>
      </c>
    </row>
    <row r="12">
      <c r="A12" s="2" t="inlineStr">
        <is>
          <t>Waiting list impact cases</t>
        </is>
      </c>
      <c r="B12" s="9">
        <f>B10*B9</f>
        <v/>
      </c>
      <c r="C12" s="9">
        <f>C10*C9</f>
        <v/>
      </c>
      <c r="D12" s="2" t="inlineStr">
        <is>
          <t>Additional sessions x average cases per list</t>
        </is>
      </c>
    </row>
    <row r="13">
      <c r="A13" s="2" t="inlineStr">
        <is>
          <t>Waiting list reduction %</t>
        </is>
      </c>
      <c r="B13" s="10">
        <f>B12/Inputs!B5</f>
        <v/>
      </c>
      <c r="C13" s="10">
        <f>C12/Inputs!B5</f>
        <v/>
      </c>
      <c r="D13" s="2" t="inlineStr">
        <is>
          <t>Waiting list impact / backlog</t>
        </is>
      </c>
    </row>
    <row r="14">
      <c r="A14" s="2" t="inlineStr">
        <is>
          <t>Income potential</t>
        </is>
      </c>
      <c r="B14" s="8">
        <f>B12*Inputs!B10</f>
        <v/>
      </c>
      <c r="C14" s="8">
        <f>C12*Inputs!B10</f>
        <v/>
      </c>
      <c r="D14" s="2" t="inlineStr">
        <is>
          <t>Waiting list impact cases x £500</t>
        </is>
      </c>
    </row>
    <row r="15">
      <c r="A15" s="2" t="inlineStr">
        <is>
          <t>Closing backlog</t>
        </is>
      </c>
      <c r="B15" s="9">
        <f>Inputs!B5-B12</f>
        <v/>
      </c>
      <c r="C15" s="9">
        <f>Inputs!B5-C12</f>
        <v/>
      </c>
      <c r="D15" s="2" t="inlineStr">
        <is>
          <t>Backlog - waiting list impact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3" customWidth="1" min="2" max="2"/>
    <col width="24" customWidth="1" min="3" max="3"/>
    <col width="42" customWidth="1" min="4" max="4"/>
    <col width="26" customWidth="1" min="5" max="5"/>
    <col width="18" customWidth="1" min="6" max="6"/>
    <col width="42" customWidth="1" min="7" max="7"/>
  </cols>
  <sheetData>
    <row r="1">
      <c r="A1" s="1" t="inlineStr">
        <is>
          <t>Theatre Capacity Workings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Current theatre capacity range and optional job-plan sensitivity.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Step</t>
        </is>
      </c>
      <c r="B4" s="4" t="inlineStr">
        <is>
          <t>Low target</t>
        </is>
      </c>
      <c r="C4" s="4" t="inlineStr">
        <is>
          <t>High target</t>
        </is>
      </c>
      <c r="D4" s="4" t="inlineStr">
        <is>
          <t>Simple formula / note</t>
        </is>
      </c>
      <c r="E4" s="4" t="n"/>
      <c r="F4" s="4" t="n"/>
      <c r="G4" s="4" t="n"/>
    </row>
    <row r="5">
      <c r="A5" s="2" t="inlineStr">
        <is>
          <t>Backlog baseline</t>
        </is>
      </c>
      <c r="B5" s="9">
        <f>Inputs!B5</f>
        <v/>
      </c>
      <c r="C5" s="9">
        <f>Inputs!B5</f>
        <v/>
      </c>
      <c r="D5" s="2" t="inlineStr">
        <is>
          <t>Input backlog baseline</t>
        </is>
      </c>
      <c r="E5" s="2" t="n"/>
      <c r="F5" s="2" t="n"/>
      <c r="G5" s="2" t="n"/>
    </row>
    <row r="6">
      <c r="A6" s="2" t="inlineStr">
        <is>
          <t>Extra cases</t>
        </is>
      </c>
      <c r="B6" s="9">
        <f>Inputs!B17</f>
        <v/>
      </c>
      <c r="C6" s="9">
        <f>Inputs!B18</f>
        <v/>
      </c>
      <c r="D6" s="2" t="inlineStr">
        <is>
          <t>Low 4,700; high 5,539 from shared scenario table</t>
        </is>
      </c>
      <c r="E6" s="2" t="n"/>
      <c r="F6" s="2" t="n"/>
      <c r="G6" s="2" t="n"/>
    </row>
    <row r="7">
      <c r="A7" s="2" t="inlineStr">
        <is>
          <t>Financial efficiency opportunity</t>
        </is>
      </c>
      <c r="B7" s="8">
        <f>Inputs!B19</f>
        <v/>
      </c>
      <c r="C7" s="8">
        <f>Inputs!B20</f>
        <v/>
      </c>
      <c r="D7" s="2" t="inlineStr">
        <is>
          <t>Source financial values from shared scenario table</t>
        </is>
      </c>
      <c r="E7" s="2" t="n"/>
      <c r="F7" s="2" t="n"/>
      <c r="G7" s="2" t="n"/>
    </row>
    <row r="8">
      <c r="A8" s="2" t="inlineStr">
        <is>
          <t>Waiting list reduction %</t>
        </is>
      </c>
      <c r="B8" s="10">
        <f>B6/B5</f>
        <v/>
      </c>
      <c r="C8" s="10">
        <f>C6/C5</f>
        <v/>
      </c>
      <c r="D8" s="2" t="inlineStr">
        <is>
          <t>Extra cases / backlog</t>
        </is>
      </c>
      <c r="E8" s="2" t="n"/>
      <c r="F8" s="2" t="n"/>
      <c r="G8" s="2" t="n"/>
    </row>
    <row r="9">
      <c r="A9" s="2" t="inlineStr">
        <is>
          <t>Income potential</t>
        </is>
      </c>
      <c r="B9" s="8">
        <f>B6*Inputs!B10</f>
        <v/>
      </c>
      <c r="C9" s="8">
        <f>C6*Inputs!B10</f>
        <v/>
      </c>
      <c r="D9" s="2" t="inlineStr">
        <is>
          <t>Extra cases x £500 income assumption</t>
        </is>
      </c>
      <c r="E9" s="2" t="n"/>
      <c r="F9" s="2" t="n"/>
      <c r="G9" s="2" t="n"/>
    </row>
    <row r="10">
      <c r="A10" s="2" t="inlineStr">
        <is>
          <t>Closing backlog</t>
        </is>
      </c>
      <c r="B10" s="9">
        <f>B5-B6</f>
        <v/>
      </c>
      <c r="C10" s="9">
        <f>C5-C6</f>
        <v/>
      </c>
      <c r="D10" s="2" t="inlineStr">
        <is>
          <t>Backlog - extra cases</t>
        </is>
      </c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4" t="inlineStr">
        <is>
          <t>Scenario</t>
        </is>
      </c>
      <c r="B13" s="4" t="inlineStr">
        <is>
          <t>Variant</t>
        </is>
      </c>
      <c r="C13" s="4" t="inlineStr">
        <is>
          <t>Extra cases</t>
        </is>
      </c>
      <c r="D13" s="4" t="inlineStr">
        <is>
          <t>Financial efficiency</t>
        </is>
      </c>
      <c r="E13" s="4" t="inlineStr">
        <is>
          <t>Waiting list reduction %</t>
        </is>
      </c>
      <c r="F13" s="4" t="inlineStr">
        <is>
          <t>Income potential</t>
        </is>
      </c>
      <c r="G13" s="4" t="inlineStr">
        <is>
          <t>Formula / note</t>
        </is>
      </c>
    </row>
    <row r="14">
      <c r="A14" s="2" t="inlineStr">
        <is>
          <t>82% utilisation + 20% HVLC</t>
        </is>
      </c>
      <c r="B14" s="2" t="inlineStr">
        <is>
          <t>No job-plan cases</t>
        </is>
      </c>
      <c r="C14" s="9">
        <f>Inputs!B17-Inputs!B21</f>
        <v/>
      </c>
      <c r="D14" s="8">
        <f>C14*(Inputs!B19/Inputs!B17)</f>
        <v/>
      </c>
      <c r="E14" s="10">
        <f>C14/Inputs!B5</f>
        <v/>
      </c>
      <c r="F14" s="8">
        <f>C14*Inputs!B10</f>
        <v/>
      </c>
      <c r="G14" s="2" t="inlineStr">
        <is>
          <t>Remove the 50% job-plan case component</t>
        </is>
      </c>
    </row>
    <row r="15">
      <c r="A15" s="2" t="inlineStr">
        <is>
          <t>82% utilisation + 20% HVLC</t>
        </is>
      </c>
      <c r="B15" s="2" t="inlineStr">
        <is>
          <t>Current: 50% job-plan delivered</t>
        </is>
      </c>
      <c r="C15" s="9">
        <f>Inputs!B17</f>
        <v/>
      </c>
      <c r="D15" s="8">
        <f>Inputs!B19</f>
        <v/>
      </c>
      <c r="E15" s="10">
        <f>C15/Inputs!B5</f>
        <v/>
      </c>
      <c r="F15" s="8">
        <f>C15*Inputs!B10</f>
        <v/>
      </c>
      <c r="G15" s="2" t="inlineStr">
        <is>
          <t>Use current shared scenario</t>
        </is>
      </c>
    </row>
    <row r="16">
      <c r="A16" s="2" t="inlineStr">
        <is>
          <t>82% utilisation + 20% HVLC</t>
        </is>
      </c>
      <c r="B16" s="2" t="inlineStr">
        <is>
          <t>All job-plan cases</t>
        </is>
      </c>
      <c r="C16" s="9">
        <f>Inputs!B17+Inputs!B21</f>
        <v/>
      </c>
      <c r="D16" s="8">
        <f>C16*(Inputs!B19/Inputs!B17)</f>
        <v/>
      </c>
      <c r="E16" s="10">
        <f>C16/Inputs!B5</f>
        <v/>
      </c>
      <c r="F16" s="8">
        <f>C16*Inputs!B10</f>
        <v/>
      </c>
      <c r="G16" s="2" t="inlineStr">
        <is>
          <t>Add the remaining 50% job-plan component</t>
        </is>
      </c>
    </row>
    <row r="17">
      <c r="A17" s="2" t="inlineStr">
        <is>
          <t>85% utilisation + 30% HVLC</t>
        </is>
      </c>
      <c r="B17" s="2" t="inlineStr">
        <is>
          <t>No job-plan cases</t>
        </is>
      </c>
      <c r="C17" s="9">
        <f>Inputs!B18-Inputs!B21</f>
        <v/>
      </c>
      <c r="D17" s="8">
        <f>C17*(Inputs!B20/Inputs!B18)</f>
        <v/>
      </c>
      <c r="E17" s="10">
        <f>C17/Inputs!B5</f>
        <v/>
      </c>
      <c r="F17" s="8">
        <f>C17*Inputs!B10</f>
        <v/>
      </c>
      <c r="G17" s="2" t="inlineStr">
        <is>
          <t>Remove the 50% job-plan case component</t>
        </is>
      </c>
    </row>
    <row r="18">
      <c r="A18" s="2" t="inlineStr">
        <is>
          <t>85% utilisation + 30% HVLC</t>
        </is>
      </c>
      <c r="B18" s="2" t="inlineStr">
        <is>
          <t>Current: 50% job-plan delivered</t>
        </is>
      </c>
      <c r="C18" s="9">
        <f>Inputs!B18</f>
        <v/>
      </c>
      <c r="D18" s="8">
        <f>Inputs!B20</f>
        <v/>
      </c>
      <c r="E18" s="10">
        <f>C18/Inputs!B5</f>
        <v/>
      </c>
      <c r="F18" s="8">
        <f>C18*Inputs!B10</f>
        <v/>
      </c>
      <c r="G18" s="2" t="inlineStr">
        <is>
          <t>Use current shared scenario</t>
        </is>
      </c>
    </row>
    <row r="19">
      <c r="A19" s="2" t="inlineStr">
        <is>
          <t>85% utilisation + 30% HVLC</t>
        </is>
      </c>
      <c r="B19" s="2" t="inlineStr">
        <is>
          <t>All job-plan cases</t>
        </is>
      </c>
      <c r="C19" s="9">
        <f>Inputs!B18+Inputs!B21</f>
        <v/>
      </c>
      <c r="D19" s="8">
        <f>C19*(Inputs!B20/Inputs!B18)</f>
        <v/>
      </c>
      <c r="E19" s="10">
        <f>C19/Inputs!B5</f>
        <v/>
      </c>
      <c r="F19" s="8">
        <f>C19*Inputs!B10</f>
        <v/>
      </c>
      <c r="G19" s="2" t="inlineStr">
        <is>
          <t>Add the remaining 50% job-plan component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Validation Notes</t>
        </is>
      </c>
      <c r="B1" s="2" t="n"/>
    </row>
    <row r="2">
      <c r="A2" s="3" t="inlineStr">
        <is>
          <t>Plain-English definitions for the workbook.</t>
        </is>
      </c>
      <c r="B2" s="2" t="n"/>
    </row>
    <row r="3">
      <c r="A3" s="2" t="n"/>
      <c r="B3" s="2" t="n"/>
    </row>
    <row r="4">
      <c r="A4" s="4" t="inlineStr">
        <is>
          <t>Topic</t>
        </is>
      </c>
      <c r="B4" s="4" t="inlineStr">
        <is>
          <t>Definition / caveat</t>
        </is>
      </c>
    </row>
    <row r="5">
      <c r="A5" s="2" t="inlineStr">
        <is>
          <t>Backlog baseline</t>
        </is>
      </c>
      <c r="B5" s="2" t="inlineStr">
        <is>
          <t>23,086 is the surgical RTT incomplete cohort used as the common denominator for waiting-list percentage reduction.</t>
        </is>
      </c>
    </row>
    <row r="6">
      <c r="A6" s="2" t="inlineStr">
        <is>
          <t>Financial efficiency</t>
        </is>
      </c>
      <c r="B6" s="2" t="inlineStr">
        <is>
          <t>An avoided-cost or productivity-value lens. It should not automatically be added to income potential.</t>
        </is>
      </c>
    </row>
    <row r="7">
      <c r="A7" s="2" t="inlineStr">
        <is>
          <t>Income potential</t>
        </is>
      </c>
      <c r="B7" s="2" t="inlineStr">
        <is>
          <t>Shown only where additional funded activity is assumed. If capacity is not reused for additional funded cases, leave income potential out to avoid double-counting.</t>
        </is>
      </c>
    </row>
    <row r="8">
      <c r="A8" s="2" t="inlineStr">
        <is>
          <t>Day case rate</t>
        </is>
      </c>
      <c r="B8" s="2" t="inlineStr">
        <is>
          <t>No bed-day multiplier is used. Financial efficiency is simply additional shifted cases x £350.</t>
        </is>
      </c>
    </row>
    <row r="9">
      <c r="A9" s="2" t="inlineStr">
        <is>
          <t>Estate utilisation</t>
        </is>
      </c>
      <c r="B9" s="2" t="inlineStr">
        <is>
          <t>Financial efficiency uses additional sessions x £500. Income potential uses additional cases x £500.</t>
        </is>
      </c>
    </row>
    <row r="10">
      <c r="A10" s="2" t="inlineStr">
        <is>
          <t>Theatre capacity</t>
        </is>
      </c>
      <c r="B10" s="2" t="inlineStr">
        <is>
          <t>The current-range financial values are source values from the shared scenario table, not recalculated from staff-cost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2026-06-08T12:56:08Z</dcterms:created>
  <dcterms:modified xmlns:dcterms="http://purl.org/dc/terms/" xmlns:xsi="http://www.w3.org/2001/XMLSchema-instance" xsi:type="dcterms:W3CDTF">2026-06-08T12:56:26Z</dcterms:modified>
</cp:coreProperties>
</file>