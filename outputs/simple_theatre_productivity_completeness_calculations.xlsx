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emmanuelajayi/my_streamlit_project/outputs/"/>
    </mc:Choice>
  </mc:AlternateContent>
  <xr:revisionPtr revIDLastSave="0" documentId="13_ncr:1_{4DFDC21E-C6C1-F24F-8F8A-ED381043A0C1}" xr6:coauthVersionLast="47" xr6:coauthVersionMax="47" xr10:uidLastSave="{00000000-0000-0000-0000-000000000000}"/>
  <bookViews>
    <workbookView xWindow="0" yWindow="760" windowWidth="30240" windowHeight="18040" activeTab="2" xr2:uid="{00000000-000D-0000-FFFF-FFFF00000000}"/>
  </bookViews>
  <sheets>
    <sheet name="Inputs" sheetId="1" r:id="rId1"/>
    <sheet name="Summary" sheetId="2" r:id="rId2"/>
    <sheet name="Utilisation Job Plan" sheetId="3" r:id="rId3"/>
    <sheet name="HVLC" sheetId="4" r:id="rId4"/>
    <sheet name="Initiative Map" sheetId="5" r:id="rId5"/>
    <sheet name="Notes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B8" i="4"/>
  <c r="C6" i="4"/>
  <c r="C11" i="4" s="1"/>
  <c r="L8" i="2" s="1"/>
  <c r="B6" i="4"/>
  <c r="G8" i="2" s="1"/>
  <c r="C5" i="4"/>
  <c r="B5" i="4"/>
  <c r="C19" i="3"/>
  <c r="F19" i="3" s="1"/>
  <c r="D18" i="3"/>
  <c r="E6" i="2" s="1"/>
  <c r="C18" i="3"/>
  <c r="E18" i="3" s="1"/>
  <c r="I6" i="2" s="1"/>
  <c r="C17" i="3"/>
  <c r="F17" i="3" s="1"/>
  <c r="C16" i="3"/>
  <c r="F16" i="3" s="1"/>
  <c r="D15" i="3"/>
  <c r="C15" i="3"/>
  <c r="F15" i="3" s="1"/>
  <c r="C14" i="3"/>
  <c r="F14" i="3" s="1"/>
  <c r="C7" i="3"/>
  <c r="B7" i="3"/>
  <c r="C6" i="3"/>
  <c r="C10" i="3" s="1"/>
  <c r="L5" i="2" s="1"/>
  <c r="B6" i="3"/>
  <c r="G5" i="2" s="1"/>
  <c r="C5" i="3"/>
  <c r="B5" i="3"/>
  <c r="L7" i="2"/>
  <c r="K7" i="2"/>
  <c r="J7" i="2"/>
  <c r="I7" i="2"/>
  <c r="H7" i="2"/>
  <c r="G7" i="2"/>
  <c r="F7" i="2"/>
  <c r="E7" i="2"/>
  <c r="L6" i="2"/>
  <c r="J6" i="2"/>
  <c r="H6" i="2"/>
  <c r="F6" i="2"/>
  <c r="H8" i="2" l="1"/>
  <c r="C12" i="4"/>
  <c r="G6" i="2"/>
  <c r="C9" i="3"/>
  <c r="J5" i="2" s="1"/>
  <c r="F18" i="3"/>
  <c r="K6" i="2" s="1"/>
  <c r="B8" i="3"/>
  <c r="E5" i="2" s="1"/>
  <c r="E19" i="3"/>
  <c r="B12" i="4"/>
  <c r="C9" i="4"/>
  <c r="C10" i="4" s="1"/>
  <c r="F8" i="2" s="1"/>
  <c r="B10" i="3"/>
  <c r="K5" i="2" s="1"/>
  <c r="B7" i="4"/>
  <c r="I8" i="2" s="1"/>
  <c r="E15" i="3"/>
  <c r="B9" i="4"/>
  <c r="B10" i="4" s="1"/>
  <c r="E8" i="2" s="1"/>
  <c r="C8" i="3"/>
  <c r="F5" i="2" s="1"/>
  <c r="B9" i="3"/>
  <c r="I5" i="2" s="1"/>
  <c r="C7" i="4"/>
  <c r="J8" i="2" s="1"/>
  <c r="D16" i="3"/>
  <c r="E16" i="3"/>
  <c r="D19" i="3"/>
  <c r="D14" i="3"/>
  <c r="E14" i="3"/>
  <c r="D17" i="3"/>
  <c r="H5" i="2"/>
  <c r="E17" i="3"/>
  <c r="B11" i="4"/>
  <c r="K8" i="2" s="1"/>
</calcChain>
</file>

<file path=xl/sharedStrings.xml><?xml version="1.0" encoding="utf-8"?>
<sst xmlns="http://schemas.openxmlformats.org/spreadsheetml/2006/main" count="164" uniqueCount="136">
  <si>
    <t>Theatre Productivity Completeness Inputs</t>
  </si>
  <si>
    <t>Yellow cells are editable assumptions. Formulas are kept simple for validation.</t>
  </si>
  <si>
    <t>Input</t>
  </si>
  <si>
    <t>Value</t>
  </si>
  <si>
    <t>Note</t>
  </si>
  <si>
    <t>Backlog baseline</t>
  </si>
  <si>
    <t>Surgical RTT incomplete cohort used for waiting-list reduction percentages</t>
  </si>
  <si>
    <t>Income per additional case assumption</t>
  </si>
  <si>
    <t>Used for income potential only</t>
  </si>
  <si>
    <t>Utilisation scenario low extra cases</t>
  </si>
  <si>
    <t>Source: 82% utilisation + 20% HVLC + 50% job-plan component</t>
  </si>
  <si>
    <t>Utilisation scenario high extra cases</t>
  </si>
  <si>
    <t>Source: 85% utilisation + 30% HVLC + 50% job-plan component</t>
  </si>
  <si>
    <t>Utilisation scenario low financial efficiency</t>
  </si>
  <si>
    <t>Source value from shared table</t>
  </si>
  <si>
    <t>Utilisation scenario high financial efficiency</t>
  </si>
  <si>
    <t>50% job-plan case component</t>
  </si>
  <si>
    <t>Used to show no-job-plan and all-job-plan sensitivities</t>
  </si>
  <si>
    <t>HVLC additional cases low</t>
  </si>
  <si>
    <t>Dedicated HVLC lists lower estimate</t>
  </si>
  <si>
    <t>HVLC additional cases high</t>
  </si>
  <si>
    <t>Dedicated HVLC lists higher estimate</t>
  </si>
  <si>
    <t>HVLC gross benefit at high case</t>
  </si>
  <si>
    <t>Gross benefit at 500 cases from opportunity model</t>
  </si>
  <si>
    <t>HVLC investment / setup cost</t>
  </si>
  <si>
    <t>Not used in the simplified calculation. HVLC uses gross financial opportunity only.</t>
  </si>
  <si>
    <t>Theatre Productivity Completeness Summary</t>
  </si>
  <si>
    <t>Linked to simple workings tabs.</t>
  </si>
  <si>
    <t>Initiative</t>
  </si>
  <si>
    <t>Baseline / scope</t>
  </si>
  <si>
    <t>Low what-if</t>
  </si>
  <si>
    <t>High what-if</t>
  </si>
  <si>
    <t>Financial efficiency low</t>
  </si>
  <si>
    <t>Financial efficiency high</t>
  </si>
  <si>
    <t>Waiting list impact low</t>
  </si>
  <si>
    <t>Waiting list impact high</t>
  </si>
  <si>
    <t>Waiting list reduction low</t>
  </si>
  <si>
    <t>Waiting list reduction high</t>
  </si>
  <si>
    <t>Income potential low</t>
  </si>
  <si>
    <t>Income potential high</t>
  </si>
  <si>
    <t>Simple calculation note</t>
  </si>
  <si>
    <t>Increase utilisation - current scenario range</t>
  </si>
  <si>
    <t>Shared scenario values with 50% job-plan component included</t>
  </si>
  <si>
    <t>82% utilisation + 20% HVLC</t>
  </si>
  <si>
    <t>85% utilisation + 30% HVLC</t>
  </si>
  <si>
    <t>Financial values are source values from the shared scenario table. Waiting-list % = cases / backlog.</t>
  </si>
  <si>
    <t>Utilisation - no job-plan sensitivity</t>
  </si>
  <si>
    <t>Removes the 50% job-plan case component</t>
  </si>
  <si>
    <t>82% scenario less job-plan component</t>
  </si>
  <si>
    <t>85% scenario less job-plan component</t>
  </si>
  <si>
    <t>Extra cases = current scenario cases - 2,729. Finance is scaled by source financial value per case.</t>
  </si>
  <si>
    <t>Utilisation - all job-plan sensitivity</t>
  </si>
  <si>
    <t>Adds the remaining 50% job-plan case component</t>
  </si>
  <si>
    <t>82% scenario plus job-plan component</t>
  </si>
  <si>
    <t>85% scenario plus job-plan component</t>
  </si>
  <si>
    <t>Extra cases = current scenario cases + 2,729. Finance is scaled by source financial value per case.</t>
  </si>
  <si>
    <t>HVLC dedicated lists</t>
  </si>
  <si>
    <t>Dedicated HVLC lists across priority specialties</t>
  </si>
  <si>
    <t>300 additional cases</t>
  </si>
  <si>
    <t>500 additional cases</t>
  </si>
  <si>
    <t>Financial efficiency = additional HVLC cases x £440 per case. No setup/investment deduction used.</t>
  </si>
  <si>
    <t>Utilisation and Job-Plan Workings</t>
  </si>
  <si>
    <t>Current range plus no-job-plan and all-job-plan sensitivities.</t>
  </si>
  <si>
    <t>Step</t>
  </si>
  <si>
    <t>Low scenario</t>
  </si>
  <si>
    <t>High scenario</t>
  </si>
  <si>
    <t>Simple formula / source</t>
  </si>
  <si>
    <t>Input backlog</t>
  </si>
  <si>
    <t>Extra cases - current scenario</t>
  </si>
  <si>
    <t>Source scenario extra cases</t>
  </si>
  <si>
    <t>Financial efficiency - current scenario</t>
  </si>
  <si>
    <t>Source financial efficiency values</t>
  </si>
  <si>
    <t>Financial value per case</t>
  </si>
  <si>
    <t>Financial efficiency / extra cases</t>
  </si>
  <si>
    <t>Waiting list reduction %</t>
  </si>
  <si>
    <t>Extra cases / backlog</t>
  </si>
  <si>
    <t>Income potential</t>
  </si>
  <si>
    <t>Extra cases x income per case assumption</t>
  </si>
  <si>
    <t>Scenario</t>
  </si>
  <si>
    <t>Variant</t>
  </si>
  <si>
    <t>Extra cases</t>
  </si>
  <si>
    <t>Financial efficiency</t>
  </si>
  <si>
    <t>Formula / note</t>
  </si>
  <si>
    <t>No job-plan cases</t>
  </si>
  <si>
    <t>Current low scenario less 2,729 job-plan cases</t>
  </si>
  <si>
    <t>Current 50% job-plan</t>
  </si>
  <si>
    <t>Source current low scenario</t>
  </si>
  <si>
    <t>All job-plan cases</t>
  </si>
  <si>
    <t>Current low scenario plus 2,729 job-plan cases</t>
  </si>
  <si>
    <t>Current high scenario less 2,729 job-plan cases</t>
  </si>
  <si>
    <t>Source current high scenario</t>
  </si>
  <si>
    <t>Current high scenario plus 2,729 job-plan cases</t>
  </si>
  <si>
    <t>HVLC Workings</t>
  </si>
  <si>
    <t>Dedicated high-volume low-complexity lists.</t>
  </si>
  <si>
    <t>Additional cases</t>
  </si>
  <si>
    <t>300-500 additional cases</t>
  </si>
  <si>
    <t>Additional cases / backlog</t>
  </si>
  <si>
    <t>Gross benefit per case</t>
  </si>
  <si>
    <t>£220k / 500 cases</t>
  </si>
  <si>
    <t>Gross financial benefit</t>
  </si>
  <si>
    <t>Additional cases x gross benefit per case</t>
  </si>
  <si>
    <t>Financial efficiency opportunity</t>
  </si>
  <si>
    <t>Use gross financial benefit only; no investment/setup-cost deduction.</t>
  </si>
  <si>
    <t>Additional cases x income per case assumption</t>
  </si>
  <si>
    <t>Closing backlog</t>
  </si>
  <si>
    <t>Backlog - additional cases</t>
  </si>
  <si>
    <t>Initiative Map</t>
  </si>
  <si>
    <t>Shows what is quantified separately and what is a supporting driver.</t>
  </si>
  <si>
    <t>Initiative / driver</t>
  </si>
  <si>
    <t>Treatment in workbook</t>
  </si>
  <si>
    <t>Reason</t>
  </si>
  <si>
    <t>Utilisation &amp; scheduling</t>
  </si>
  <si>
    <t>Quantified</t>
  </si>
  <si>
    <t>Uses shared scenario extra cases and financial values.</t>
  </si>
  <si>
    <t>Job-plan delivery sensitivity</t>
  </si>
  <si>
    <t>Uses the 2,729 case 50% job-plan component to show no-job-plan and all-job-plan versions.</t>
  </si>
  <si>
    <t>Quantified separately</t>
  </si>
  <si>
    <t>Uses 300-500 additional cases and £220k gross benefit at 500 cases.</t>
  </si>
  <si>
    <t>Late starts / Golden Patient</t>
  </si>
  <si>
    <t>Supporting driver only</t>
  </si>
  <si>
    <t>A route to utilisation improvement; not separately monetised to avoid double counting.</t>
  </si>
  <si>
    <t>Booking rules &amp; case durations</t>
  </si>
  <si>
    <t>A route to utilisation/HVLC throughput; not separately monetised to avoid double counting.</t>
  </si>
  <si>
    <t>Patient readiness &amp; cancellations</t>
  </si>
  <si>
    <t>A route to utilisation improvement; can be monetised separately only with agreed cancellation baseline and case impact.</t>
  </si>
  <si>
    <t>Notes</t>
  </si>
  <si>
    <t>Simple definitions and caveats.</t>
  </si>
  <si>
    <t>Topic</t>
  </si>
  <si>
    <t>Backlog denominator</t>
  </si>
  <si>
    <t>Waiting-list reduction percentages use the 23,086 surgical RTT incomplete backlog baseline.</t>
  </si>
  <si>
    <t>For utilisation, financial values are source values from the shared table. For HVLC, financial efficiency is additional cases x £440 per case.</t>
  </si>
  <si>
    <t>Calculated as additional cases x £500. This is a separate gross income lens and should not be added to financial efficiency unless Finance confirms it is additional funded activity.</t>
  </si>
  <si>
    <t>Double counting caution</t>
  </si>
  <si>
    <t>The utilisation scenario already includes an HVLC improvement assumption. Do not add the separate HVLC row to the utilisation row unless the scenarios have been de-duplicated.</t>
  </si>
  <si>
    <t>Supporting drivers</t>
  </si>
  <si>
    <t>Late starts, booking rules, and cancellation/readiness actions support utilisation delivery and are shown in the initiative map rather than separately valued.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</si>
</sst>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3" fontId="0" fillId="3" borderId="1" xfId="0" applyNumberFormat="1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3" fontId="0" fillId="4" borderId="1" xfId="0" applyNumberFormat="1" applyFill="1" applyBorder="1" applyAlignment="1">
      <alignment vertical="top" wrapText="1"/>
    </xf>
    <xf numFmtId="165" fontId="0" fillId="4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46" customWidth="1"/>
    <col min="2" max="2" width="12" customWidth="1"/>
    <col min="3" max="3" width="46" customWidth="1"/>
  </cols>
  <sheetData>
    <row r="1" spans="1:3" ht="44" x14ac:dyDescent="0.2">
      <c r="A1" s="1" t="s">
        <v>0</v>
      </c>
      <c r="B1" s="2"/>
      <c r="C1" s="2"/>
    </row>
    <row r="2" spans="1:3" ht="32" x14ac:dyDescent="0.2">
      <c r="A2" s="3" t="s">
        <v>1</v>
      </c>
      <c r="B2" s="2"/>
      <c r="C2" s="2"/>
    </row>
    <row r="3" spans="1:3" x14ac:dyDescent="0.2">
      <c r="A3" s="2"/>
      <c r="B3" s="2"/>
      <c r="C3" s="2"/>
    </row>
    <row r="4" spans="1:3" ht="16" x14ac:dyDescent="0.2">
      <c r="A4" s="4" t="s">
        <v>2</v>
      </c>
      <c r="B4" s="4" t="s">
        <v>3</v>
      </c>
      <c r="C4" s="4" t="s">
        <v>4</v>
      </c>
    </row>
    <row r="5" spans="1:3" ht="32" x14ac:dyDescent="0.2">
      <c r="A5" s="2" t="s">
        <v>5</v>
      </c>
      <c r="B5" s="5">
        <v>23086</v>
      </c>
      <c r="C5" s="2" t="s">
        <v>6</v>
      </c>
    </row>
    <row r="6" spans="1:3" ht="16" x14ac:dyDescent="0.2">
      <c r="A6" s="2" t="s">
        <v>7</v>
      </c>
      <c r="B6" s="6">
        <v>500</v>
      </c>
      <c r="C6" s="2" t="s">
        <v>8</v>
      </c>
    </row>
    <row r="7" spans="1:3" ht="32" x14ac:dyDescent="0.2">
      <c r="A7" s="2" t="s">
        <v>9</v>
      </c>
      <c r="B7" s="5">
        <v>4700</v>
      </c>
      <c r="C7" s="2" t="s">
        <v>10</v>
      </c>
    </row>
    <row r="8" spans="1:3" ht="32" x14ac:dyDescent="0.2">
      <c r="A8" s="2" t="s">
        <v>11</v>
      </c>
      <c r="B8" s="5">
        <v>5539</v>
      </c>
      <c r="C8" s="2" t="s">
        <v>12</v>
      </c>
    </row>
    <row r="9" spans="1:3" ht="16" x14ac:dyDescent="0.2">
      <c r="A9" s="2" t="s">
        <v>13</v>
      </c>
      <c r="B9" s="6">
        <v>957399.03</v>
      </c>
      <c r="C9" s="2" t="s">
        <v>14</v>
      </c>
    </row>
    <row r="10" spans="1:3" ht="16" x14ac:dyDescent="0.2">
      <c r="A10" s="2" t="s">
        <v>15</v>
      </c>
      <c r="B10" s="6">
        <v>1117353.45</v>
      </c>
      <c r="C10" s="2" t="s">
        <v>14</v>
      </c>
    </row>
    <row r="11" spans="1:3" ht="16" x14ac:dyDescent="0.2">
      <c r="A11" s="2" t="s">
        <v>16</v>
      </c>
      <c r="B11" s="5">
        <v>2729</v>
      </c>
      <c r="C11" s="2" t="s">
        <v>17</v>
      </c>
    </row>
    <row r="12" spans="1:3" ht="16" x14ac:dyDescent="0.2">
      <c r="A12" s="2" t="s">
        <v>18</v>
      </c>
      <c r="B12" s="5">
        <v>300</v>
      </c>
      <c r="C12" s="2" t="s">
        <v>19</v>
      </c>
    </row>
    <row r="13" spans="1:3" ht="16" x14ac:dyDescent="0.2">
      <c r="A13" s="2" t="s">
        <v>20</v>
      </c>
      <c r="B13" s="5">
        <v>500</v>
      </c>
      <c r="C13" s="2" t="s">
        <v>21</v>
      </c>
    </row>
    <row r="14" spans="1:3" ht="16" x14ac:dyDescent="0.2">
      <c r="A14" s="2" t="s">
        <v>22</v>
      </c>
      <c r="B14" s="6">
        <v>220000</v>
      </c>
      <c r="C14" s="2" t="s">
        <v>23</v>
      </c>
    </row>
    <row r="15" spans="1:3" ht="32" x14ac:dyDescent="0.2">
      <c r="A15" s="2" t="s">
        <v>24</v>
      </c>
      <c r="B15" s="6">
        <v>0</v>
      </c>
      <c r="C15" s="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2" width="46" customWidth="1"/>
    <col min="3" max="4" width="38" customWidth="1"/>
    <col min="5" max="12" width="29" customWidth="1"/>
    <col min="13" max="13" width="46" customWidth="1"/>
  </cols>
  <sheetData>
    <row r="1" spans="1:13" ht="44" x14ac:dyDescent="0.2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6" x14ac:dyDescent="0.2">
      <c r="A2" s="3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6" x14ac:dyDescent="0.2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4" t="s">
        <v>39</v>
      </c>
      <c r="M4" s="4" t="s">
        <v>40</v>
      </c>
    </row>
    <row r="5" spans="1:13" ht="32" x14ac:dyDescent="0.2">
      <c r="A5" s="2" t="s">
        <v>41</v>
      </c>
      <c r="B5" s="2" t="s">
        <v>42</v>
      </c>
      <c r="C5" s="2" t="s">
        <v>43</v>
      </c>
      <c r="D5" s="2" t="s">
        <v>44</v>
      </c>
      <c r="E5" s="7">
        <f>'Utilisation Job Plan'!B8</f>
        <v>203.70192127659575</v>
      </c>
      <c r="F5" s="7">
        <f>'Utilisation Job Plan'!C8</f>
        <v>201.7247607871457</v>
      </c>
      <c r="G5" s="8">
        <f>'Utilisation Job Plan'!B6</f>
        <v>4700</v>
      </c>
      <c r="H5" s="8">
        <f>'Utilisation Job Plan'!C6</f>
        <v>5539</v>
      </c>
      <c r="I5" s="9">
        <f>'Utilisation Job Plan'!B9</f>
        <v>0.20358658927488521</v>
      </c>
      <c r="J5" s="9">
        <f>'Utilisation Job Plan'!C9</f>
        <v>0.23992896127523175</v>
      </c>
      <c r="K5" s="7">
        <f>'Utilisation Job Plan'!B10</f>
        <v>2350000</v>
      </c>
      <c r="L5" s="7">
        <f>'Utilisation Job Plan'!C10</f>
        <v>2769500</v>
      </c>
      <c r="M5" s="2" t="s">
        <v>45</v>
      </c>
    </row>
    <row r="6" spans="1:13" ht="32" x14ac:dyDescent="0.2">
      <c r="A6" s="2" t="s">
        <v>46</v>
      </c>
      <c r="B6" s="2" t="s">
        <v>47</v>
      </c>
      <c r="C6" s="2" t="s">
        <v>48</v>
      </c>
      <c r="D6" s="2" t="s">
        <v>49</v>
      </c>
      <c r="E6" s="7">
        <f>'Utilisation Job Plan'!D18</f>
        <v>1117353.45</v>
      </c>
      <c r="F6" s="7">
        <f>'Utilisation Job Plan'!D21</f>
        <v>0</v>
      </c>
      <c r="G6" s="8">
        <f>'Utilisation Job Plan'!C18</f>
        <v>5539</v>
      </c>
      <c r="H6" s="8">
        <f>'Utilisation Job Plan'!C21</f>
        <v>0</v>
      </c>
      <c r="I6" s="9">
        <f>'Utilisation Job Plan'!E18</f>
        <v>0.23992896127523175</v>
      </c>
      <c r="J6" s="9">
        <f>'Utilisation Job Plan'!E21</f>
        <v>0</v>
      </c>
      <c r="K6" s="7">
        <f>'Utilisation Job Plan'!F18</f>
        <v>2769500</v>
      </c>
      <c r="L6" s="7">
        <f>'Utilisation Job Plan'!F21</f>
        <v>0</v>
      </c>
      <c r="M6" s="2" t="s">
        <v>50</v>
      </c>
    </row>
    <row r="7" spans="1:13" ht="32" x14ac:dyDescent="0.2">
      <c r="A7" s="2" t="s">
        <v>51</v>
      </c>
      <c r="B7" s="2" t="s">
        <v>52</v>
      </c>
      <c r="C7" s="2" t="s">
        <v>53</v>
      </c>
      <c r="D7" s="2" t="s">
        <v>54</v>
      </c>
      <c r="E7" s="7">
        <f>'Utilisation Job Plan'!D20</f>
        <v>0</v>
      </c>
      <c r="F7" s="7">
        <f>'Utilisation Job Plan'!D23</f>
        <v>0</v>
      </c>
      <c r="G7" s="8">
        <f>'Utilisation Job Plan'!C20</f>
        <v>0</v>
      </c>
      <c r="H7" s="8">
        <f>'Utilisation Job Plan'!C23</f>
        <v>0</v>
      </c>
      <c r="I7" s="9">
        <f>'Utilisation Job Plan'!E20</f>
        <v>0</v>
      </c>
      <c r="J7" s="9">
        <f>'Utilisation Job Plan'!E23</f>
        <v>0</v>
      </c>
      <c r="K7" s="7">
        <f>'Utilisation Job Plan'!F20</f>
        <v>0</v>
      </c>
      <c r="L7" s="7">
        <f>'Utilisation Job Plan'!F23</f>
        <v>0</v>
      </c>
      <c r="M7" s="2" t="s">
        <v>55</v>
      </c>
    </row>
    <row r="8" spans="1:13" ht="32" x14ac:dyDescent="0.2">
      <c r="A8" s="2" t="s">
        <v>56</v>
      </c>
      <c r="B8" s="2" t="s">
        <v>57</v>
      </c>
      <c r="C8" s="2" t="s">
        <v>58</v>
      </c>
      <c r="D8" s="2" t="s">
        <v>59</v>
      </c>
      <c r="E8" s="7">
        <f>HVLC!B10</f>
        <v>132000</v>
      </c>
      <c r="F8" s="7">
        <f>HVLC!C10</f>
        <v>220000</v>
      </c>
      <c r="G8" s="8">
        <f>HVLC!B6</f>
        <v>300</v>
      </c>
      <c r="H8" s="8">
        <f>HVLC!C6</f>
        <v>500</v>
      </c>
      <c r="I8" s="9">
        <f>HVLC!B7</f>
        <v>1.2994888677120333E-2</v>
      </c>
      <c r="J8" s="9">
        <f>HVLC!C7</f>
        <v>2.1658147795200554E-2</v>
      </c>
      <c r="K8" s="7">
        <f>HVLC!B11</f>
        <v>150000</v>
      </c>
      <c r="L8" s="7">
        <f>HVLC!C11</f>
        <v>250000</v>
      </c>
      <c r="M8" s="2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tabSelected="1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46" customWidth="1"/>
    <col min="2" max="2" width="22" customWidth="1"/>
    <col min="3" max="3" width="23" customWidth="1"/>
    <col min="4" max="4" width="42" customWidth="1"/>
    <col min="5" max="5" width="26" customWidth="1"/>
    <col min="6" max="6" width="18" customWidth="1"/>
    <col min="7" max="7" width="46" customWidth="1"/>
  </cols>
  <sheetData>
    <row r="1" spans="1:7" ht="22" x14ac:dyDescent="0.2">
      <c r="A1" s="1" t="s">
        <v>61</v>
      </c>
      <c r="B1" s="2"/>
      <c r="C1" s="2"/>
      <c r="D1" s="2"/>
      <c r="E1" s="2"/>
      <c r="F1" s="2"/>
      <c r="G1" s="2"/>
    </row>
    <row r="2" spans="1:7" ht="32" x14ac:dyDescent="0.2">
      <c r="A2" s="3" t="s">
        <v>62</v>
      </c>
      <c r="B2" s="2"/>
      <c r="C2" s="2"/>
      <c r="D2" s="2"/>
      <c r="E2" s="2"/>
      <c r="F2" s="2"/>
      <c r="G2" s="2"/>
    </row>
    <row r="3" spans="1:7" x14ac:dyDescent="0.2">
      <c r="A3" s="2"/>
      <c r="B3" s="2"/>
      <c r="C3" s="2"/>
      <c r="D3" s="2"/>
      <c r="E3" s="2"/>
      <c r="F3" s="2"/>
      <c r="G3" s="2"/>
    </row>
    <row r="4" spans="1:7" ht="16" x14ac:dyDescent="0.2">
      <c r="A4" s="4" t="s">
        <v>63</v>
      </c>
      <c r="B4" s="4" t="s">
        <v>64</v>
      </c>
      <c r="C4" s="4" t="s">
        <v>65</v>
      </c>
      <c r="D4" s="4" t="s">
        <v>66</v>
      </c>
      <c r="E4" s="4"/>
      <c r="F4" s="4"/>
      <c r="G4" s="4"/>
    </row>
    <row r="5" spans="1:7" ht="16" x14ac:dyDescent="0.2">
      <c r="A5" s="2" t="s">
        <v>5</v>
      </c>
      <c r="B5" s="8">
        <f>Inputs!B5</f>
        <v>23086</v>
      </c>
      <c r="C5" s="8">
        <f>Inputs!B5</f>
        <v>23086</v>
      </c>
      <c r="D5" s="2" t="s">
        <v>67</v>
      </c>
      <c r="E5" s="2"/>
      <c r="F5" s="2"/>
      <c r="G5" s="2"/>
    </row>
    <row r="6" spans="1:7" ht="16" x14ac:dyDescent="0.2">
      <c r="A6" s="2" t="s">
        <v>68</v>
      </c>
      <c r="B6" s="8">
        <f>Inputs!B7</f>
        <v>4700</v>
      </c>
      <c r="C6" s="8">
        <f>Inputs!B8</f>
        <v>5539</v>
      </c>
      <c r="D6" s="2" t="s">
        <v>69</v>
      </c>
      <c r="E6" s="2"/>
      <c r="F6" s="2"/>
      <c r="G6" s="2"/>
    </row>
    <row r="7" spans="1:7" ht="16" x14ac:dyDescent="0.2">
      <c r="A7" s="2" t="s">
        <v>70</v>
      </c>
      <c r="B7" s="7">
        <f>Inputs!B9</f>
        <v>957399.03</v>
      </c>
      <c r="C7" s="7">
        <f>Inputs!B10</f>
        <v>1117353.45</v>
      </c>
      <c r="D7" s="2" t="s">
        <v>71</v>
      </c>
      <c r="E7" s="2"/>
      <c r="F7" s="2"/>
      <c r="G7" s="2"/>
    </row>
    <row r="8" spans="1:7" ht="16" x14ac:dyDescent="0.2">
      <c r="A8" s="2" t="s">
        <v>72</v>
      </c>
      <c r="B8" s="7">
        <f>B7/B6</f>
        <v>203.70192127659575</v>
      </c>
      <c r="C8" s="7">
        <f>C7/C6</f>
        <v>201.7247607871457</v>
      </c>
      <c r="D8" s="2" t="s">
        <v>73</v>
      </c>
      <c r="E8" s="2"/>
      <c r="F8" s="2"/>
      <c r="G8" s="2"/>
    </row>
    <row r="9" spans="1:7" ht="16" x14ac:dyDescent="0.2">
      <c r="A9" s="2" t="s">
        <v>74</v>
      </c>
      <c r="B9" s="9">
        <f>B6/B5</f>
        <v>0.20358658927488521</v>
      </c>
      <c r="C9" s="9">
        <f>C6/C5</f>
        <v>0.23992896127523175</v>
      </c>
      <c r="D9" s="2" t="s">
        <v>75</v>
      </c>
      <c r="E9" s="2"/>
      <c r="F9" s="2"/>
      <c r="G9" s="2"/>
    </row>
    <row r="10" spans="1:7" ht="16" x14ac:dyDescent="0.2">
      <c r="A10" s="2" t="s">
        <v>76</v>
      </c>
      <c r="B10" s="7">
        <f>B6*Inputs!B6</f>
        <v>2350000</v>
      </c>
      <c r="C10" s="7">
        <f>C6*Inputs!B6</f>
        <v>2769500</v>
      </c>
      <c r="D10" s="2" t="s">
        <v>77</v>
      </c>
      <c r="E10" s="2"/>
      <c r="F10" s="2"/>
      <c r="G10" s="2"/>
    </row>
    <row r="11" spans="1:7" x14ac:dyDescent="0.2">
      <c r="A11" s="2"/>
      <c r="B11" s="2"/>
      <c r="C11" s="2"/>
      <c r="D11" s="2"/>
      <c r="E11" s="2"/>
      <c r="F11" s="2"/>
      <c r="G11" s="2"/>
    </row>
    <row r="12" spans="1:7" x14ac:dyDescent="0.2">
      <c r="A12" s="2"/>
      <c r="B12" s="2"/>
      <c r="C12" s="2"/>
      <c r="D12" s="2"/>
      <c r="E12" s="2"/>
      <c r="F12" s="2"/>
      <c r="G12" s="2"/>
    </row>
    <row r="13" spans="1:7" ht="16" x14ac:dyDescent="0.2">
      <c r="A13" s="4" t="s">
        <v>78</v>
      </c>
      <c r="B13" s="4" t="s">
        <v>79</v>
      </c>
      <c r="C13" s="4" t="s">
        <v>80</v>
      </c>
      <c r="D13" s="4" t="s">
        <v>81</v>
      </c>
      <c r="E13" s="4" t="s">
        <v>74</v>
      </c>
      <c r="F13" s="4" t="s">
        <v>76</v>
      </c>
      <c r="G13" s="4" t="s">
        <v>82</v>
      </c>
    </row>
    <row r="14" spans="1:7" ht="16" x14ac:dyDescent="0.2">
      <c r="A14" s="2" t="s">
        <v>43</v>
      </c>
      <c r="B14" s="2" t="s">
        <v>83</v>
      </c>
      <c r="C14" s="8">
        <f>Inputs!B7-Inputs!B11</f>
        <v>1971</v>
      </c>
      <c r="D14" s="7">
        <f>C14*(Inputs!B9/Inputs!B7)</f>
        <v>401496.48683617025</v>
      </c>
      <c r="E14" s="9">
        <f>C14/Inputs!B5</f>
        <v>8.5376418608680588E-2</v>
      </c>
      <c r="F14" s="7">
        <f>C14*Inputs!B6</f>
        <v>985500</v>
      </c>
      <c r="G14" s="2" t="s">
        <v>84</v>
      </c>
    </row>
    <row r="15" spans="1:7" ht="16" x14ac:dyDescent="0.2">
      <c r="A15" s="2" t="s">
        <v>43</v>
      </c>
      <c r="B15" s="2" t="s">
        <v>85</v>
      </c>
      <c r="C15" s="8">
        <f>Inputs!B7</f>
        <v>4700</v>
      </c>
      <c r="D15" s="7">
        <f>Inputs!B9</f>
        <v>957399.03</v>
      </c>
      <c r="E15" s="9">
        <f>C15/Inputs!B5</f>
        <v>0.20358658927488521</v>
      </c>
      <c r="F15" s="7">
        <f>C15*Inputs!B6</f>
        <v>2350000</v>
      </c>
      <c r="G15" s="2" t="s">
        <v>86</v>
      </c>
    </row>
    <row r="16" spans="1:7" ht="16" x14ac:dyDescent="0.2">
      <c r="A16" s="2" t="s">
        <v>43</v>
      </c>
      <c r="B16" s="2" t="s">
        <v>87</v>
      </c>
      <c r="C16" s="8">
        <f>Inputs!B7+Inputs!B11</f>
        <v>7429</v>
      </c>
      <c r="D16" s="7">
        <f>C16*(Inputs!B9/Inputs!B7)</f>
        <v>1513301.57316383</v>
      </c>
      <c r="E16" s="9">
        <f>C16/Inputs!B5</f>
        <v>0.32179675994108986</v>
      </c>
      <c r="F16" s="7">
        <f>C16*Inputs!B6</f>
        <v>3714500</v>
      </c>
      <c r="G16" s="2" t="s">
        <v>88</v>
      </c>
    </row>
    <row r="17" spans="1:7" ht="16" x14ac:dyDescent="0.2">
      <c r="A17" s="2" t="s">
        <v>44</v>
      </c>
      <c r="B17" s="2" t="s">
        <v>83</v>
      </c>
      <c r="C17" s="8">
        <f>Inputs!B8-Inputs!B11</f>
        <v>2810</v>
      </c>
      <c r="D17" s="7">
        <f>C17*(Inputs!B10/Inputs!B8)</f>
        <v>566846.57781187946</v>
      </c>
      <c r="E17" s="9">
        <f>C17/Inputs!B5</f>
        <v>0.12171879060902711</v>
      </c>
      <c r="F17" s="7">
        <f>C17*Inputs!B6</f>
        <v>1405000</v>
      </c>
      <c r="G17" s="2" t="s">
        <v>89</v>
      </c>
    </row>
    <row r="18" spans="1:7" ht="16" x14ac:dyDescent="0.2">
      <c r="A18" s="2" t="s">
        <v>44</v>
      </c>
      <c r="B18" s="2" t="s">
        <v>85</v>
      </c>
      <c r="C18" s="8">
        <f>Inputs!B8</f>
        <v>5539</v>
      </c>
      <c r="D18" s="7">
        <f>Inputs!B10</f>
        <v>1117353.45</v>
      </c>
      <c r="E18" s="9">
        <f>C18/Inputs!B5</f>
        <v>0.23992896127523175</v>
      </c>
      <c r="F18" s="7">
        <f>C18*Inputs!B6</f>
        <v>2769500</v>
      </c>
      <c r="G18" s="2" t="s">
        <v>90</v>
      </c>
    </row>
    <row r="19" spans="1:7" ht="16" x14ac:dyDescent="0.2">
      <c r="A19" s="2" t="s">
        <v>44</v>
      </c>
      <c r="B19" s="2" t="s">
        <v>87</v>
      </c>
      <c r="C19" s="8">
        <f>Inputs!B8+Inputs!B11</f>
        <v>8268</v>
      </c>
      <c r="D19" s="7">
        <f>C19*(Inputs!B10/Inputs!B8)</f>
        <v>1667860.3221881206</v>
      </c>
      <c r="E19" s="9">
        <f>C19/Inputs!B5</f>
        <v>0.35813913194143637</v>
      </c>
      <c r="F19" s="7">
        <f>C19*Inputs!B6</f>
        <v>4134000</v>
      </c>
      <c r="G19" s="2" t="s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45" customWidth="1"/>
    <col min="2" max="3" width="24" customWidth="1"/>
    <col min="4" max="4" width="46" customWidth="1"/>
  </cols>
  <sheetData>
    <row r="1" spans="1:4" ht="22" x14ac:dyDescent="0.2">
      <c r="A1" s="1" t="s">
        <v>92</v>
      </c>
      <c r="B1" s="2"/>
      <c r="C1" s="2"/>
      <c r="D1" s="2"/>
    </row>
    <row r="2" spans="1:4" ht="16" x14ac:dyDescent="0.2">
      <c r="A2" s="3" t="s">
        <v>93</v>
      </c>
      <c r="B2" s="2"/>
      <c r="C2" s="2"/>
      <c r="D2" s="2"/>
    </row>
    <row r="3" spans="1:4" x14ac:dyDescent="0.2">
      <c r="A3" s="2"/>
      <c r="B3" s="2"/>
      <c r="C3" s="2"/>
      <c r="D3" s="2"/>
    </row>
    <row r="4" spans="1:4" ht="16" x14ac:dyDescent="0.2">
      <c r="A4" s="4" t="s">
        <v>63</v>
      </c>
      <c r="B4" s="4" t="s">
        <v>64</v>
      </c>
      <c r="C4" s="4" t="s">
        <v>65</v>
      </c>
      <c r="D4" s="4" t="s">
        <v>66</v>
      </c>
    </row>
    <row r="5" spans="1:4" ht="16" x14ac:dyDescent="0.2">
      <c r="A5" s="2" t="s">
        <v>5</v>
      </c>
      <c r="B5" s="8">
        <f>Inputs!B5</f>
        <v>23086</v>
      </c>
      <c r="C5" s="8">
        <f>Inputs!B5</f>
        <v>23086</v>
      </c>
      <c r="D5" s="2" t="s">
        <v>67</v>
      </c>
    </row>
    <row r="6" spans="1:4" ht="16" x14ac:dyDescent="0.2">
      <c r="A6" s="2" t="s">
        <v>94</v>
      </c>
      <c r="B6" s="8">
        <f>Inputs!B12</f>
        <v>300</v>
      </c>
      <c r="C6" s="8">
        <f>Inputs!B13</f>
        <v>500</v>
      </c>
      <c r="D6" s="2" t="s">
        <v>95</v>
      </c>
    </row>
    <row r="7" spans="1:4" ht="16" x14ac:dyDescent="0.2">
      <c r="A7" s="2" t="s">
        <v>74</v>
      </c>
      <c r="B7" s="9">
        <f>B6/B5</f>
        <v>1.2994888677120333E-2</v>
      </c>
      <c r="C7" s="9">
        <f>C6/C5</f>
        <v>2.1658147795200554E-2</v>
      </c>
      <c r="D7" s="2" t="s">
        <v>96</v>
      </c>
    </row>
    <row r="8" spans="1:4" ht="16" x14ac:dyDescent="0.2">
      <c r="A8" s="2" t="s">
        <v>97</v>
      </c>
      <c r="B8" s="7">
        <f>Inputs!B14/Inputs!B13</f>
        <v>440</v>
      </c>
      <c r="C8" s="7">
        <f>Inputs!B14/Inputs!B13</f>
        <v>440</v>
      </c>
      <c r="D8" s="2" t="s">
        <v>98</v>
      </c>
    </row>
    <row r="9" spans="1:4" ht="16" x14ac:dyDescent="0.2">
      <c r="A9" s="2" t="s">
        <v>99</v>
      </c>
      <c r="B9" s="7">
        <f>B6*B8</f>
        <v>132000</v>
      </c>
      <c r="C9" s="7">
        <f>C6*C8</f>
        <v>220000</v>
      </c>
      <c r="D9" s="2" t="s">
        <v>100</v>
      </c>
    </row>
    <row r="10" spans="1:4" ht="32" x14ac:dyDescent="0.2">
      <c r="A10" s="2" t="s">
        <v>101</v>
      </c>
      <c r="B10" s="7">
        <f>B9</f>
        <v>132000</v>
      </c>
      <c r="C10" s="7">
        <f>C9</f>
        <v>220000</v>
      </c>
      <c r="D10" s="2" t="s">
        <v>102</v>
      </c>
    </row>
    <row r="11" spans="1:4" ht="16" x14ac:dyDescent="0.2">
      <c r="A11" s="2" t="s">
        <v>76</v>
      </c>
      <c r="B11" s="7">
        <f>B6*Inputs!B6</f>
        <v>150000</v>
      </c>
      <c r="C11" s="7">
        <f>C6*Inputs!B6</f>
        <v>250000</v>
      </c>
      <c r="D11" s="2" t="s">
        <v>103</v>
      </c>
    </row>
    <row r="12" spans="1:4" ht="16" x14ac:dyDescent="0.2">
      <c r="A12" s="2" t="s">
        <v>104</v>
      </c>
      <c r="B12" s="8">
        <f>B5-B6</f>
        <v>22786</v>
      </c>
      <c r="C12" s="8">
        <f>C5-C6</f>
        <v>22586</v>
      </c>
      <c r="D12" s="2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46" customWidth="1"/>
    <col min="2" max="2" width="24" customWidth="1"/>
    <col min="3" max="3" width="46" customWidth="1"/>
  </cols>
  <sheetData>
    <row r="1" spans="1:3" ht="22" x14ac:dyDescent="0.2">
      <c r="A1" s="1" t="s">
        <v>106</v>
      </c>
      <c r="B1" s="2"/>
      <c r="C1" s="2"/>
    </row>
    <row r="2" spans="1:3" ht="32" x14ac:dyDescent="0.2">
      <c r="A2" s="3" t="s">
        <v>107</v>
      </c>
      <c r="B2" s="2"/>
      <c r="C2" s="2"/>
    </row>
    <row r="3" spans="1:3" x14ac:dyDescent="0.2">
      <c r="A3" s="2"/>
      <c r="B3" s="2"/>
      <c r="C3" s="2"/>
    </row>
    <row r="4" spans="1:3" ht="16" x14ac:dyDescent="0.2">
      <c r="A4" s="4" t="s">
        <v>108</v>
      </c>
      <c r="B4" s="4" t="s">
        <v>109</v>
      </c>
      <c r="C4" s="4" t="s">
        <v>110</v>
      </c>
    </row>
    <row r="5" spans="1:3" ht="16" x14ac:dyDescent="0.2">
      <c r="A5" s="2" t="s">
        <v>111</v>
      </c>
      <c r="B5" s="2" t="s">
        <v>112</v>
      </c>
      <c r="C5" s="2" t="s">
        <v>113</v>
      </c>
    </row>
    <row r="6" spans="1:3" ht="32" x14ac:dyDescent="0.2">
      <c r="A6" s="2" t="s">
        <v>114</v>
      </c>
      <c r="B6" s="2" t="s">
        <v>112</v>
      </c>
      <c r="C6" s="2" t="s">
        <v>115</v>
      </c>
    </row>
    <row r="7" spans="1:3" ht="32" x14ac:dyDescent="0.2">
      <c r="A7" s="2" t="s">
        <v>56</v>
      </c>
      <c r="B7" s="2" t="s">
        <v>116</v>
      </c>
      <c r="C7" s="2" t="s">
        <v>117</v>
      </c>
    </row>
    <row r="8" spans="1:3" ht="32" x14ac:dyDescent="0.2">
      <c r="A8" s="2" t="s">
        <v>118</v>
      </c>
      <c r="B8" s="2" t="s">
        <v>119</v>
      </c>
      <c r="C8" s="2" t="s">
        <v>120</v>
      </c>
    </row>
    <row r="9" spans="1:3" ht="32" x14ac:dyDescent="0.2">
      <c r="A9" s="2" t="s">
        <v>121</v>
      </c>
      <c r="B9" s="2" t="s">
        <v>119</v>
      </c>
      <c r="C9" s="2" t="s">
        <v>122</v>
      </c>
    </row>
    <row r="10" spans="1:3" ht="48" x14ac:dyDescent="0.2">
      <c r="A10" s="2" t="s">
        <v>123</v>
      </c>
      <c r="B10" s="2" t="s">
        <v>119</v>
      </c>
      <c r="C10" s="2" t="s">
        <v>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3" customWidth="1"/>
    <col min="2" max="2" width="46" customWidth="1"/>
  </cols>
  <sheetData>
    <row r="1" spans="1:2" ht="22" x14ac:dyDescent="0.2">
      <c r="A1" s="1" t="s">
        <v>125</v>
      </c>
      <c r="B1" s="2"/>
    </row>
    <row r="2" spans="1:2" ht="16" x14ac:dyDescent="0.2">
      <c r="A2" s="3" t="s">
        <v>126</v>
      </c>
      <c r="B2" s="2"/>
    </row>
    <row r="3" spans="1:2" x14ac:dyDescent="0.2">
      <c r="A3" s="2"/>
      <c r="B3" s="2"/>
    </row>
    <row r="4" spans="1:2" ht="16" x14ac:dyDescent="0.2">
      <c r="A4" s="4" t="s">
        <v>127</v>
      </c>
      <c r="B4" s="4" t="s">
        <v>4</v>
      </c>
    </row>
    <row r="5" spans="1:2" ht="32" x14ac:dyDescent="0.2">
      <c r="A5" s="2" t="s">
        <v>128</v>
      </c>
      <c r="B5" s="2" t="s">
        <v>129</v>
      </c>
    </row>
    <row r="6" spans="1:2" ht="48" x14ac:dyDescent="0.2">
      <c r="A6" s="2" t="s">
        <v>81</v>
      </c>
      <c r="B6" s="2" t="s">
        <v>130</v>
      </c>
    </row>
    <row r="7" spans="1:2" ht="64" x14ac:dyDescent="0.2">
      <c r="A7" s="2" t="s">
        <v>76</v>
      </c>
      <c r="B7" s="2" t="s">
        <v>131</v>
      </c>
    </row>
    <row r="8" spans="1:2" ht="64" x14ac:dyDescent="0.2">
      <c r="A8" s="2" t="s">
        <v>132</v>
      </c>
      <c r="B8" s="2" t="s">
        <v>133</v>
      </c>
    </row>
    <row r="9" spans="1:2" ht="48" x14ac:dyDescent="0.2">
      <c r="A9" s="2" t="s">
        <v>134</v>
      </c>
      <c r="B9" s="2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Summary</vt:lpstr>
      <vt:lpstr>Utilisation Job Plan</vt:lpstr>
      <vt:lpstr>HVLC</vt:lpstr>
      <vt:lpstr>Initiative Map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Ajayi</cp:lastModifiedBy>
  <dcterms:created xsi:type="dcterms:W3CDTF">2026-06-08T13:09:10Z</dcterms:created>
  <dcterms:modified xsi:type="dcterms:W3CDTF">2026-06-08T16:26:30Z</dcterms:modified>
</cp:coreProperties>
</file>