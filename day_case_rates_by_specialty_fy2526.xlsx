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 by Specialt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urgical HVLC View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14" customWidth="1" min="3" max="3"/>
    <col width="19" customWidth="1" min="4" max="4"/>
    <col width="23" customWidth="1" min="5" max="5"/>
    <col width="60" customWidth="1" min="6" max="6"/>
    <col width="21" customWidth="1" min="7" max="7"/>
  </cols>
  <sheetData>
    <row r="1">
      <c r="A1" s="1" t="inlineStr">
        <is>
          <t>Current FY25/26 Day-Case Rate by Specialty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Formula cells are highlighted in yellow; assumption/source cells are highlighted in green.</t>
        </is>
      </c>
      <c r="B2" s="2" t="n"/>
      <c r="C2" s="2" t="n"/>
      <c r="D2" s="2" t="n"/>
      <c r="E2" s="2" t="n"/>
      <c r="F2" s="2" t="n"/>
      <c r="G2" s="2" t="n"/>
    </row>
    <row r="3">
      <c r="A3" s="4" t="inlineStr">
        <is>
          <t>Specialty</t>
        </is>
      </c>
      <c r="B3" s="4" t="inlineStr">
        <is>
          <t>Eligible elective spells</t>
        </is>
      </c>
      <c r="C3" s="4" t="inlineStr">
        <is>
          <t>Day cases</t>
        </is>
      </c>
      <c r="D3" s="4" t="inlineStr">
        <is>
          <t>Ordinary elective</t>
        </is>
      </c>
      <c r="E3" s="4" t="inlineStr">
        <is>
          <t>Current day-case rate</t>
        </is>
      </c>
      <c r="F3" s="4" t="inlineStr">
        <is>
          <t>Formula</t>
        </is>
      </c>
      <c r="G3" s="4" t="inlineStr">
        <is>
          <t>Surgical/HVLC focus</t>
        </is>
      </c>
    </row>
    <row r="4">
      <c r="A4" s="2" t="inlineStr">
        <is>
          <t>Acute Internal Medicine</t>
        </is>
      </c>
      <c r="B4" s="5" t="n">
        <v>53</v>
      </c>
      <c r="C4" s="5" t="n">
        <v>52</v>
      </c>
      <c r="D4" s="5" t="n">
        <v>1</v>
      </c>
      <c r="E4" s="6">
        <f>C4/B4</f>
        <v/>
      </c>
      <c r="F4" s="2">
        <f>Day cases / eligible elective spells = C4/B4</f>
        <v/>
      </c>
      <c r="G4" s="2" t="inlineStr">
        <is>
          <t>No</t>
        </is>
      </c>
    </row>
    <row r="5">
      <c r="A5" s="2" t="inlineStr">
        <is>
          <t>Breast Surgery</t>
        </is>
      </c>
      <c r="B5" s="5" t="n">
        <v>471</v>
      </c>
      <c r="C5" s="5" t="n">
        <v>408</v>
      </c>
      <c r="D5" s="5" t="n">
        <v>63</v>
      </c>
      <c r="E5" s="6">
        <f>C5/B5</f>
        <v/>
      </c>
      <c r="F5" s="2">
        <f>Day cases / eligible elective spells = C5/B5</f>
        <v/>
      </c>
      <c r="G5" s="2" t="inlineStr">
        <is>
          <t>Yes</t>
        </is>
      </c>
    </row>
    <row r="6">
      <c r="A6" s="2" t="inlineStr">
        <is>
          <t>Cardiology</t>
        </is>
      </c>
      <c r="B6" s="5" t="n">
        <v>1180</v>
      </c>
      <c r="C6" s="5" t="n">
        <v>1150</v>
      </c>
      <c r="D6" s="5" t="n">
        <v>30</v>
      </c>
      <c r="E6" s="6">
        <f>C6/B6</f>
        <v/>
      </c>
      <c r="F6" s="2">
        <f>Day cases / eligible elective spells = C6/B6</f>
        <v/>
      </c>
      <c r="G6" s="2" t="inlineStr">
        <is>
          <t>No</t>
        </is>
      </c>
    </row>
    <row r="7">
      <c r="A7" s="2" t="inlineStr">
        <is>
          <t>Clinical Haematology</t>
        </is>
      </c>
      <c r="B7" s="5" t="n">
        <v>4433</v>
      </c>
      <c r="C7" s="5" t="n">
        <v>4428</v>
      </c>
      <c r="D7" s="5" t="n">
        <v>5</v>
      </c>
      <c r="E7" s="6">
        <f>C7/B7</f>
        <v/>
      </c>
      <c r="F7" s="2">
        <f>Day cases / eligible elective spells = C7/B7</f>
        <v/>
      </c>
      <c r="G7" s="2" t="inlineStr">
        <is>
          <t>No</t>
        </is>
      </c>
    </row>
    <row r="8">
      <c r="A8" s="2" t="inlineStr">
        <is>
          <t>Clinical Oncology</t>
        </is>
      </c>
      <c r="B8" s="5" t="n">
        <v>1675</v>
      </c>
      <c r="C8" s="5" t="n">
        <v>1667</v>
      </c>
      <c r="D8" s="5" t="n">
        <v>8</v>
      </c>
      <c r="E8" s="6">
        <f>C8/B8</f>
        <v/>
      </c>
      <c r="F8" s="2">
        <f>Day cases / eligible elective spells = C8/B8</f>
        <v/>
      </c>
      <c r="G8" s="2" t="inlineStr">
        <is>
          <t>No</t>
        </is>
      </c>
    </row>
    <row r="9">
      <c r="A9" s="2" t="inlineStr">
        <is>
          <t>Colorectal Surgery</t>
        </is>
      </c>
      <c r="B9" s="5" t="n">
        <v>528</v>
      </c>
      <c r="C9" s="5" t="n">
        <v>467</v>
      </c>
      <c r="D9" s="5" t="n">
        <v>61</v>
      </c>
      <c r="E9" s="6">
        <f>C9/B9</f>
        <v/>
      </c>
      <c r="F9" s="2">
        <f>Day cases / eligible elective spells = C9/B9</f>
        <v/>
      </c>
      <c r="G9" s="2" t="inlineStr">
        <is>
          <t>Yes</t>
        </is>
      </c>
    </row>
    <row r="10">
      <c r="A10" s="2" t="inlineStr">
        <is>
          <t>Dermatology</t>
        </is>
      </c>
      <c r="B10" s="5" t="n">
        <v>11</v>
      </c>
      <c r="C10" s="5" t="n">
        <v>11</v>
      </c>
      <c r="D10" s="5" t="n">
        <v>0</v>
      </c>
      <c r="E10" s="6">
        <f>C10/B10</f>
        <v/>
      </c>
      <c r="F10" s="2">
        <f>Day cases / eligible elective spells = C10/B10</f>
        <v/>
      </c>
      <c r="G10" s="2" t="inlineStr">
        <is>
          <t>No</t>
        </is>
      </c>
    </row>
    <row r="11">
      <c r="A11" s="2" t="inlineStr">
        <is>
          <t>Diabetes Service</t>
        </is>
      </c>
      <c r="B11" s="5" t="n">
        <v>2</v>
      </c>
      <c r="C11" s="5" t="n">
        <v>2</v>
      </c>
      <c r="D11" s="5" t="n">
        <v>0</v>
      </c>
      <c r="E11" s="6">
        <f>C11/B11</f>
        <v/>
      </c>
      <c r="F11" s="2">
        <f>Day cases / eligible elective spells = C11/B11</f>
        <v/>
      </c>
      <c r="G11" s="2" t="inlineStr">
        <is>
          <t>No</t>
        </is>
      </c>
    </row>
    <row r="12">
      <c r="A12" s="2" t="inlineStr">
        <is>
          <t>Diagnostic Imaging Service</t>
        </is>
      </c>
      <c r="B12" s="5" t="n">
        <v>1331</v>
      </c>
      <c r="C12" s="5" t="n">
        <v>1311</v>
      </c>
      <c r="D12" s="5" t="n">
        <v>20</v>
      </c>
      <c r="E12" s="6">
        <f>C12/B12</f>
        <v/>
      </c>
      <c r="F12" s="2">
        <f>Day cases / eligible elective spells = C12/B12</f>
        <v/>
      </c>
      <c r="G12" s="2" t="inlineStr">
        <is>
          <t>No</t>
        </is>
      </c>
    </row>
    <row r="13">
      <c r="A13" s="2" t="inlineStr">
        <is>
          <t>Dietetics Service</t>
        </is>
      </c>
      <c r="B13" s="5" t="n">
        <v>10</v>
      </c>
      <c r="C13" s="5" t="n">
        <v>10</v>
      </c>
      <c r="D13" s="5" t="n">
        <v>0</v>
      </c>
      <c r="E13" s="6">
        <f>C13/B13</f>
        <v/>
      </c>
      <c r="F13" s="2">
        <f>Day cases / eligible elective spells = C13/B13</f>
        <v/>
      </c>
      <c r="G13" s="2" t="inlineStr">
        <is>
          <t>No</t>
        </is>
      </c>
    </row>
    <row r="14">
      <c r="A14" s="2" t="inlineStr">
        <is>
          <t>ENT</t>
        </is>
      </c>
      <c r="B14" s="5" t="n">
        <v>978</v>
      </c>
      <c r="C14" s="5" t="n">
        <v>897</v>
      </c>
      <c r="D14" s="5" t="n">
        <v>81</v>
      </c>
      <c r="E14" s="6">
        <f>C14/B14</f>
        <v/>
      </c>
      <c r="F14" s="2">
        <f>Day cases / eligible elective spells = C14/B14</f>
        <v/>
      </c>
      <c r="G14" s="2" t="inlineStr">
        <is>
          <t>Yes</t>
        </is>
      </c>
    </row>
    <row r="15">
      <c r="A15" s="2" t="inlineStr">
        <is>
          <t>Elderly Medicine Service</t>
        </is>
      </c>
      <c r="B15" s="5" t="n">
        <v>41</v>
      </c>
      <c r="C15" s="5" t="n">
        <v>39</v>
      </c>
      <c r="D15" s="5" t="n">
        <v>2</v>
      </c>
      <c r="E15" s="6">
        <f>C15/B15</f>
        <v/>
      </c>
      <c r="F15" s="2">
        <f>Day cases / eligible elective spells = C15/B15</f>
        <v/>
      </c>
      <c r="G15" s="2" t="inlineStr">
        <is>
          <t>No</t>
        </is>
      </c>
    </row>
    <row r="16">
      <c r="A16" s="2" t="inlineStr">
        <is>
          <t>Emergency Medicine Service</t>
        </is>
      </c>
      <c r="B16" s="5" t="n">
        <v>3</v>
      </c>
      <c r="C16" s="5" t="n">
        <v>1</v>
      </c>
      <c r="D16" s="5" t="n">
        <v>2</v>
      </c>
      <c r="E16" s="6">
        <f>C16/B16</f>
        <v/>
      </c>
      <c r="F16" s="2">
        <f>Day cases / eligible elective spells = C16/B16</f>
        <v/>
      </c>
      <c r="G16" s="2" t="inlineStr">
        <is>
          <t>No</t>
        </is>
      </c>
    </row>
    <row r="17">
      <c r="A17" s="2" t="inlineStr">
        <is>
          <t>Endocrinology</t>
        </is>
      </c>
      <c r="B17" s="5" t="n">
        <v>5</v>
      </c>
      <c r="C17" s="5" t="n">
        <v>5</v>
      </c>
      <c r="D17" s="5" t="n">
        <v>0</v>
      </c>
      <c r="E17" s="6">
        <f>C17/B17</f>
        <v/>
      </c>
      <c r="F17" s="2">
        <f>Day cases / eligible elective spells = C17/B17</f>
        <v/>
      </c>
      <c r="G17" s="2" t="inlineStr">
        <is>
          <t>No</t>
        </is>
      </c>
    </row>
    <row r="18">
      <c r="A18" s="2" t="inlineStr">
        <is>
          <t>Gastroenterology</t>
        </is>
      </c>
      <c r="B18" s="5" t="n">
        <v>3732</v>
      </c>
      <c r="C18" s="5" t="n">
        <v>3664</v>
      </c>
      <c r="D18" s="5" t="n">
        <v>68</v>
      </c>
      <c r="E18" s="6">
        <f>C18/B18</f>
        <v/>
      </c>
      <c r="F18" s="2">
        <f>Day cases / eligible elective spells = C18/B18</f>
        <v/>
      </c>
      <c r="G18" s="2" t="inlineStr">
        <is>
          <t>No</t>
        </is>
      </c>
    </row>
    <row r="19">
      <c r="A19" s="2" t="inlineStr">
        <is>
          <t>General Internal Medicine</t>
        </is>
      </c>
      <c r="B19" s="5" t="n">
        <v>48</v>
      </c>
      <c r="C19" s="5" t="n">
        <v>44</v>
      </c>
      <c r="D19" s="5" t="n">
        <v>4</v>
      </c>
      <c r="E19" s="6">
        <f>C19/B19</f>
        <v/>
      </c>
      <c r="F19" s="2">
        <f>Day cases / eligible elective spells = C19/B19</f>
        <v/>
      </c>
      <c r="G19" s="2" t="inlineStr">
        <is>
          <t>No</t>
        </is>
      </c>
    </row>
    <row r="20">
      <c r="A20" s="2" t="inlineStr">
        <is>
          <t>General Surgery</t>
        </is>
      </c>
      <c r="B20" s="5" t="n">
        <v>4728</v>
      </c>
      <c r="C20" s="5" t="n">
        <v>3900</v>
      </c>
      <c r="D20" s="5" t="n">
        <v>828</v>
      </c>
      <c r="E20" s="6">
        <f>C20/B20</f>
        <v/>
      </c>
      <c r="F20" s="2">
        <f>Day cases / eligible elective spells = C20/B20</f>
        <v/>
      </c>
      <c r="G20" s="2" t="inlineStr">
        <is>
          <t>Yes</t>
        </is>
      </c>
    </row>
    <row r="21">
      <c r="A21" s="2" t="inlineStr">
        <is>
          <t>Gynaecology</t>
        </is>
      </c>
      <c r="B21" s="5" t="n">
        <v>1328</v>
      </c>
      <c r="C21" s="5" t="n">
        <v>800</v>
      </c>
      <c r="D21" s="5" t="n">
        <v>528</v>
      </c>
      <c r="E21" s="6">
        <f>C21/B21</f>
        <v/>
      </c>
      <c r="F21" s="2">
        <f>Day cases / eligible elective spells = C21/B21</f>
        <v/>
      </c>
      <c r="G21" s="2" t="inlineStr">
        <is>
          <t>Yes</t>
        </is>
      </c>
    </row>
    <row r="22">
      <c r="A22" s="2" t="inlineStr">
        <is>
          <t>Interventional Radiology Service</t>
        </is>
      </c>
      <c r="B22" s="5" t="n">
        <v>104</v>
      </c>
      <c r="C22" s="5" t="n">
        <v>104</v>
      </c>
      <c r="D22" s="5" t="n">
        <v>0</v>
      </c>
      <c r="E22" s="6">
        <f>C22/B22</f>
        <v/>
      </c>
      <c r="F22" s="2">
        <f>Day cases / eligible elective spells = C22/B22</f>
        <v/>
      </c>
      <c r="G22" s="2" t="inlineStr">
        <is>
          <t>No</t>
        </is>
      </c>
    </row>
    <row r="23">
      <c r="A23" s="2" t="inlineStr">
        <is>
          <t>Medical Oncology</t>
        </is>
      </c>
      <c r="B23" s="5" t="n">
        <v>3718</v>
      </c>
      <c r="C23" s="5" t="n">
        <v>3710</v>
      </c>
      <c r="D23" s="5" t="n">
        <v>8</v>
      </c>
      <c r="E23" s="6">
        <f>C23/B23</f>
        <v/>
      </c>
      <c r="F23" s="2">
        <f>Day cases / eligible elective spells = C23/B23</f>
        <v/>
      </c>
      <c r="G23" s="2" t="inlineStr">
        <is>
          <t>No</t>
        </is>
      </c>
    </row>
    <row r="24">
      <c r="A24" s="2" t="inlineStr">
        <is>
          <t>Midwifery Service</t>
        </is>
      </c>
      <c r="B24" s="5" t="n">
        <v>25</v>
      </c>
      <c r="C24" s="5" t="n">
        <v>0</v>
      </c>
      <c r="D24" s="5" t="n">
        <v>25</v>
      </c>
      <c r="E24" s="6">
        <f>C24/B24</f>
        <v/>
      </c>
      <c r="F24" s="2">
        <f>Day cases / eligible elective spells = C24/B24</f>
        <v/>
      </c>
      <c r="G24" s="2" t="inlineStr">
        <is>
          <t>No</t>
        </is>
      </c>
    </row>
    <row r="25">
      <c r="A25" s="2" t="inlineStr">
        <is>
          <t>Neurology</t>
        </is>
      </c>
      <c r="B25" s="5" t="n">
        <v>5</v>
      </c>
      <c r="C25" s="5" t="n">
        <v>5</v>
      </c>
      <c r="D25" s="5" t="n">
        <v>0</v>
      </c>
      <c r="E25" s="6">
        <f>C25/B25</f>
        <v/>
      </c>
      <c r="F25" s="2">
        <f>Day cases / eligible elective spells = C25/B25</f>
        <v/>
      </c>
      <c r="G25" s="2" t="inlineStr">
        <is>
          <t>No</t>
        </is>
      </c>
    </row>
    <row r="26">
      <c r="A26" s="2" t="inlineStr">
        <is>
          <t>Obstetrics Service</t>
        </is>
      </c>
      <c r="B26" s="5" t="n">
        <v>1093</v>
      </c>
      <c r="C26" s="5" t="n">
        <v>2</v>
      </c>
      <c r="D26" s="5" t="n">
        <v>1091</v>
      </c>
      <c r="E26" s="6">
        <f>C26/B26</f>
        <v/>
      </c>
      <c r="F26" s="2">
        <f>Day cases / eligible elective spells = C26/B26</f>
        <v/>
      </c>
      <c r="G26" s="2" t="inlineStr">
        <is>
          <t>No</t>
        </is>
      </c>
    </row>
    <row r="27">
      <c r="A27" s="2" t="inlineStr">
        <is>
          <t>Ophthalmology</t>
        </is>
      </c>
      <c r="B27" s="5" t="n">
        <v>1454</v>
      </c>
      <c r="C27" s="5" t="n">
        <v>1447</v>
      </c>
      <c r="D27" s="5" t="n">
        <v>7</v>
      </c>
      <c r="E27" s="6">
        <f>C27/B27</f>
        <v/>
      </c>
      <c r="F27" s="2">
        <f>Day cases / eligible elective spells = C27/B27</f>
        <v/>
      </c>
      <c r="G27" s="2" t="inlineStr">
        <is>
          <t>Yes</t>
        </is>
      </c>
    </row>
    <row r="28">
      <c r="A28" s="2" t="inlineStr">
        <is>
          <t>Oral Surgery</t>
        </is>
      </c>
      <c r="B28" s="5" t="n">
        <v>941</v>
      </c>
      <c r="C28" s="5" t="n">
        <v>898</v>
      </c>
      <c r="D28" s="5" t="n">
        <v>43</v>
      </c>
      <c r="E28" s="6">
        <f>C28/B28</f>
        <v/>
      </c>
      <c r="F28" s="2">
        <f>Day cases / eligible elective spells = C28/B28</f>
        <v/>
      </c>
      <c r="G28" s="2" t="inlineStr">
        <is>
          <t>Yes</t>
        </is>
      </c>
    </row>
    <row r="29">
      <c r="A29" s="2" t="inlineStr">
        <is>
          <t>Paediatric Service</t>
        </is>
      </c>
      <c r="B29" s="5" t="n">
        <v>114</v>
      </c>
      <c r="C29" s="5" t="n">
        <v>110</v>
      </c>
      <c r="D29" s="5" t="n">
        <v>4</v>
      </c>
      <c r="E29" s="6">
        <f>C29/B29</f>
        <v/>
      </c>
      <c r="F29" s="2">
        <f>Day cases / eligible elective spells = C29/B29</f>
        <v/>
      </c>
      <c r="G29" s="2" t="inlineStr">
        <is>
          <t>No</t>
        </is>
      </c>
    </row>
    <row r="30">
      <c r="A30" s="2" t="inlineStr">
        <is>
          <t>Paediatric Urology</t>
        </is>
      </c>
      <c r="B30" s="5" t="n">
        <v>8</v>
      </c>
      <c r="C30" s="5" t="n">
        <v>7</v>
      </c>
      <c r="D30" s="5" t="n">
        <v>1</v>
      </c>
      <c r="E30" s="6">
        <f>C30/B30</f>
        <v/>
      </c>
      <c r="F30" s="2">
        <f>Day cases / eligible elective spells = C30/B30</f>
        <v/>
      </c>
      <c r="G30" s="2" t="inlineStr">
        <is>
          <t>No</t>
        </is>
      </c>
    </row>
    <row r="31">
      <c r="A31" s="2" t="inlineStr">
        <is>
          <t>Physiotherapy</t>
        </is>
      </c>
      <c r="B31" s="5" t="n">
        <v>4</v>
      </c>
      <c r="C31" s="5" t="n">
        <v>4</v>
      </c>
      <c r="D31" s="5" t="n">
        <v>0</v>
      </c>
      <c r="E31" s="6">
        <f>C31/B31</f>
        <v/>
      </c>
      <c r="F31" s="2">
        <f>Day cases / eligible elective spells = C31/B31</f>
        <v/>
      </c>
      <c r="G31" s="2" t="inlineStr">
        <is>
          <t>No</t>
        </is>
      </c>
    </row>
    <row r="32">
      <c r="A32" s="2" t="inlineStr">
        <is>
          <t>Respiratory Medicine</t>
        </is>
      </c>
      <c r="B32" s="5" t="n">
        <v>345</v>
      </c>
      <c r="C32" s="5" t="n">
        <v>334</v>
      </c>
      <c r="D32" s="5" t="n">
        <v>11</v>
      </c>
      <c r="E32" s="6">
        <f>C32/B32</f>
        <v/>
      </c>
      <c r="F32" s="2">
        <f>Day cases / eligible elective spells = C32/B32</f>
        <v/>
      </c>
      <c r="G32" s="2" t="inlineStr">
        <is>
          <t>No</t>
        </is>
      </c>
    </row>
    <row r="33">
      <c r="A33" s="2" t="inlineStr">
        <is>
          <t>Rheumatology</t>
        </is>
      </c>
      <c r="B33" s="5" t="n">
        <v>537</v>
      </c>
      <c r="C33" s="5" t="n">
        <v>534</v>
      </c>
      <c r="D33" s="5" t="n">
        <v>3</v>
      </c>
      <c r="E33" s="6">
        <f>C33/B33</f>
        <v/>
      </c>
      <c r="F33" s="2">
        <f>Day cases / eligible elective spells = C33/B33</f>
        <v/>
      </c>
      <c r="G33" s="2" t="inlineStr">
        <is>
          <t>No</t>
        </is>
      </c>
    </row>
    <row r="34">
      <c r="A34" s="2" t="inlineStr">
        <is>
          <t>Trauma &amp; Orthopaedics</t>
        </is>
      </c>
      <c r="B34" s="5" t="n">
        <v>2156</v>
      </c>
      <c r="C34" s="5" t="n">
        <v>916</v>
      </c>
      <c r="D34" s="5" t="n">
        <v>1240</v>
      </c>
      <c r="E34" s="6">
        <f>C34/B34</f>
        <v/>
      </c>
      <c r="F34" s="2">
        <f>Day cases / eligible elective spells = C34/B34</f>
        <v/>
      </c>
      <c r="G34" s="2" t="inlineStr">
        <is>
          <t>Yes</t>
        </is>
      </c>
    </row>
    <row r="35">
      <c r="A35" s="2" t="inlineStr">
        <is>
          <t>Urology</t>
        </is>
      </c>
      <c r="B35" s="5" t="n">
        <v>1889</v>
      </c>
      <c r="C35" s="5" t="n">
        <v>1180</v>
      </c>
      <c r="D35" s="5" t="n">
        <v>709</v>
      </c>
      <c r="E35" s="6">
        <f>C35/B35</f>
        <v/>
      </c>
      <c r="F35" s="2">
        <f>Day cases / eligible elective spells = C35/B35</f>
        <v/>
      </c>
      <c r="G35" s="2" t="inlineStr">
        <is>
          <t>Yes</t>
        </is>
      </c>
    </row>
    <row r="36">
      <c r="A36" s="2" t="inlineStr">
        <is>
          <t>Vascular Surgery</t>
        </is>
      </c>
      <c r="B36" s="5" t="n">
        <v>227</v>
      </c>
      <c r="C36" s="5" t="n">
        <v>175</v>
      </c>
      <c r="D36" s="5" t="n">
        <v>52</v>
      </c>
      <c r="E36" s="6">
        <f>C36/B36</f>
        <v/>
      </c>
      <c r="F36" s="2">
        <f>Day cases / eligible elective spells = C36/B36</f>
        <v/>
      </c>
      <c r="G36" s="2" t="inlineStr">
        <is>
          <t>Yes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7" t="inlineStr">
        <is>
          <t>All specialties total</t>
        </is>
      </c>
      <c r="B38" s="8">
        <f>SUM(B4:B36)</f>
        <v/>
      </c>
      <c r="C38" s="8">
        <f>SUM(C4:C36)</f>
        <v/>
      </c>
      <c r="D38" s="8">
        <f>SUM(D4:D36)</f>
        <v/>
      </c>
      <c r="E38" s="6">
        <f>C38/B38</f>
        <v/>
      </c>
      <c r="F38" s="2">
        <f>Total day cases / total eligible elective spells = C38/B38</f>
        <v/>
      </c>
      <c r="G3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4" customWidth="1" min="2" max="2"/>
    <col width="48" customWidth="1" min="3" max="3"/>
  </cols>
  <sheetData>
    <row r="1">
      <c r="A1" s="1" t="inlineStr">
        <is>
          <t>Inputs and Definitions</t>
        </is>
      </c>
      <c r="B1" s="2" t="n"/>
      <c r="C1" s="2" t="n"/>
    </row>
    <row r="2">
      <c r="A2" s="3" t="inlineStr">
        <is>
          <t>Formula cells are highlighted in yellow; assumption/source cells are highlighted in green.</t>
        </is>
      </c>
      <c r="B2" s="2" t="n"/>
      <c r="C2" s="2" t="n"/>
    </row>
    <row r="3">
      <c r="A3" s="4" t="inlineStr">
        <is>
          <t>Input / definition</t>
        </is>
      </c>
      <c r="B3" s="4" t="inlineStr">
        <is>
          <t>Value</t>
        </is>
      </c>
      <c r="C3" s="4" t="inlineStr">
        <is>
          <t>Note</t>
        </is>
      </c>
    </row>
    <row r="4">
      <c r="A4" s="2" t="inlineStr">
        <is>
          <t>Source dataset</t>
        </is>
      </c>
      <c r="B4" s="9" t="inlineStr">
        <is>
          <t>data/raw/Inpatient/Inpatients.csv</t>
        </is>
      </c>
      <c r="C4" s="2" t="inlineStr">
        <is>
          <t>Raw inpatient extract used for the calculation</t>
        </is>
      </c>
    </row>
    <row r="5">
      <c r="A5" s="2" t="inlineStr">
        <is>
          <t>Baseline period start</t>
        </is>
      </c>
      <c r="B5" s="9" t="inlineStr">
        <is>
          <t>2025-04-01</t>
        </is>
      </c>
      <c r="C5" s="2" t="inlineStr">
        <is>
          <t>April 2025</t>
        </is>
      </c>
    </row>
    <row r="6">
      <c r="A6" s="2" t="inlineStr">
        <is>
          <t>Baseline period end</t>
        </is>
      </c>
      <c r="B6" s="9" t="inlineStr">
        <is>
          <t>2026-03-31</t>
        </is>
      </c>
      <c r="C6" s="2" t="inlineStr">
        <is>
          <t>March 2026</t>
        </is>
      </c>
    </row>
    <row r="7">
      <c r="A7" s="2" t="inlineStr">
        <is>
          <t>Day-case numerator</t>
        </is>
      </c>
      <c r="B7" s="9" t="inlineStr">
        <is>
          <t>Day Case Admission + Regular Day Admission</t>
        </is>
      </c>
      <c r="C7" s="2" t="inlineStr">
        <is>
          <t>Based on Patient classification</t>
        </is>
      </c>
    </row>
    <row r="8">
      <c r="A8" s="2" t="inlineStr">
        <is>
          <t>Ordinary elective denominator component</t>
        </is>
      </c>
      <c r="B8" s="9" t="inlineStr">
        <is>
          <t>Elective Ordinary Admission</t>
        </is>
      </c>
      <c r="C8" s="2" t="inlineStr">
        <is>
          <t>Based on Patient classification</t>
        </is>
      </c>
    </row>
    <row r="9">
      <c r="A9" s="2" t="inlineStr">
        <is>
          <t>Excluded patient classification</t>
        </is>
      </c>
      <c r="B9" s="9" t="inlineStr">
        <is>
          <t>Non Elective Ordinary Admission</t>
        </is>
      </c>
      <c r="C9" s="2" t="inlineStr">
        <is>
          <t>Excluded because it is non-elective</t>
        </is>
      </c>
    </row>
    <row r="10">
      <c r="A10" s="2" t="inlineStr">
        <is>
          <t>Counting unit</t>
        </is>
      </c>
      <c r="B10" s="9" t="inlineStr">
        <is>
          <t>Distinct Spell ID</t>
        </is>
      </c>
      <c r="C10" s="2" t="inlineStr">
        <is>
          <t>Duplicate Spell IDs are counted once</t>
        </is>
      </c>
    </row>
    <row r="11">
      <c r="A11" s="2" t="inlineStr">
        <is>
          <t>Specialty grouping</t>
        </is>
      </c>
      <c r="B11" s="9" t="inlineStr">
        <is>
          <t>Standardised_Specialty</t>
        </is>
      </c>
      <c r="C11" s="2" t="inlineStr">
        <is>
          <t>Uses local specialty standardisation helper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Calculation Trace</t>
        </is>
      </c>
      <c r="B1" s="2" t="n"/>
    </row>
    <row r="2">
      <c r="A2" s="3" t="inlineStr">
        <is>
          <t>Formula cells are highlighted in yellow; assumption/source cells are highlighted in green.</t>
        </is>
      </c>
      <c r="B2" s="2" t="n"/>
    </row>
    <row r="3">
      <c r="A3" s="4" t="inlineStr">
        <is>
          <t>Step</t>
        </is>
      </c>
      <c r="B3" s="4" t="inlineStr">
        <is>
          <t>Logic</t>
        </is>
      </c>
    </row>
    <row r="4">
      <c r="A4" s="2" t="inlineStr">
        <is>
          <t>1. Filter period</t>
        </is>
      </c>
      <c r="B4" s="2" t="inlineStr">
        <is>
          <t>Admission datetime between 1 April 2025 and 31 March 2026.</t>
        </is>
      </c>
    </row>
    <row r="5">
      <c r="A5" s="2" t="inlineStr">
        <is>
          <t>2. Keep eligible elective records</t>
        </is>
      </c>
      <c r="B5" s="2" t="inlineStr">
        <is>
          <t>Patient classification in Day Case Admission, Regular Day Admission, or Elective Ordinary Admission.</t>
        </is>
      </c>
    </row>
    <row r="6">
      <c r="A6" s="2" t="inlineStr">
        <is>
          <t>3. Exclude non-elective</t>
        </is>
      </c>
      <c r="B6" s="2" t="inlineStr">
        <is>
          <t>Non Elective Ordinary Admission is not included in the day-case rate denominator.</t>
        </is>
      </c>
    </row>
    <row r="7">
      <c r="A7" s="2" t="inlineStr">
        <is>
          <t>4. Count unit</t>
        </is>
      </c>
      <c r="B7" s="2" t="inlineStr">
        <is>
          <t>Distinct Spell ID is used so duplicate spell rows do not inflate the rate.</t>
        </is>
      </c>
    </row>
    <row r="8">
      <c r="A8" s="2" t="inlineStr">
        <is>
          <t>5. Numerator</t>
        </is>
      </c>
      <c r="B8" s="2" t="inlineStr">
        <is>
          <t>Day cases = Day Case Admission + Regular Day Admission.</t>
        </is>
      </c>
    </row>
    <row r="9">
      <c r="A9" s="2" t="inlineStr">
        <is>
          <t>6. Denominator</t>
        </is>
      </c>
      <c r="B9" s="2" t="inlineStr">
        <is>
          <t>Eligible elective spells = day cases + Elective Ordinary Admission.</t>
        </is>
      </c>
    </row>
    <row r="10">
      <c r="A10" s="2" t="inlineStr">
        <is>
          <t>7. Rate</t>
        </is>
      </c>
      <c r="B10" s="2" t="inlineStr">
        <is>
          <t>Current day-case rate = day cases / eligible elective spells.</t>
        </is>
      </c>
    </row>
    <row r="11">
      <c r="A11" s="2" t="inlineStr">
        <is>
          <t>8. Specialty</t>
        </is>
      </c>
      <c r="B11" s="2" t="inlineStr">
        <is>
          <t>Specialty is grouped using the project standardised specialty helper.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14" customWidth="1" min="3" max="3"/>
    <col width="19" customWidth="1" min="4" max="4"/>
    <col width="23" customWidth="1" min="5" max="5"/>
    <col width="60" customWidth="1" min="6" max="6"/>
  </cols>
  <sheetData>
    <row r="1">
      <c r="A1" s="1" t="inlineStr">
        <is>
          <t>Current FY25/26 Day-Case Rate - Surgical/HVLC Focus</t>
        </is>
      </c>
      <c r="B1" s="2" t="n"/>
      <c r="C1" s="2" t="n"/>
      <c r="D1" s="2" t="n"/>
      <c r="E1" s="2" t="n"/>
      <c r="F1" s="2" t="n"/>
    </row>
    <row r="2">
      <c r="A2" s="3" t="inlineStr">
        <is>
          <t>Formula cells are highlighted in yellow; assumption/source cells are highlighted in green.</t>
        </is>
      </c>
      <c r="B2" s="2" t="n"/>
      <c r="C2" s="2" t="n"/>
      <c r="D2" s="2" t="n"/>
      <c r="E2" s="2" t="n"/>
      <c r="F2" s="2" t="n"/>
    </row>
    <row r="3">
      <c r="A3" s="4" t="inlineStr">
        <is>
          <t>Specialty</t>
        </is>
      </c>
      <c r="B3" s="4" t="inlineStr">
        <is>
          <t>Eligible elective spells</t>
        </is>
      </c>
      <c r="C3" s="4" t="inlineStr">
        <is>
          <t>Day cases</t>
        </is>
      </c>
      <c r="D3" s="4" t="inlineStr">
        <is>
          <t>Ordinary elective</t>
        </is>
      </c>
      <c r="E3" s="4" t="inlineStr">
        <is>
          <t>Current day-case rate</t>
        </is>
      </c>
      <c r="F3" s="4" t="inlineStr">
        <is>
          <t>Formula</t>
        </is>
      </c>
    </row>
    <row r="4">
      <c r="A4" s="2" t="inlineStr">
        <is>
          <t>Breast Surgery</t>
        </is>
      </c>
      <c r="B4" s="5" t="n">
        <v>471</v>
      </c>
      <c r="C4" s="5" t="n">
        <v>408</v>
      </c>
      <c r="D4" s="5" t="n">
        <v>63</v>
      </c>
      <c r="E4" s="6">
        <f>C4/B4</f>
        <v/>
      </c>
      <c r="F4" s="2">
        <f>Day cases / eligible elective spells = C4/B4</f>
        <v/>
      </c>
    </row>
    <row r="5">
      <c r="A5" s="2" t="inlineStr">
        <is>
          <t>Colorectal Surgery</t>
        </is>
      </c>
      <c r="B5" s="5" t="n">
        <v>528</v>
      </c>
      <c r="C5" s="5" t="n">
        <v>467</v>
      </c>
      <c r="D5" s="5" t="n">
        <v>61</v>
      </c>
      <c r="E5" s="6">
        <f>C5/B5</f>
        <v/>
      </c>
      <c r="F5" s="2">
        <f>Day cases / eligible elective spells = C5/B5</f>
        <v/>
      </c>
    </row>
    <row r="6">
      <c r="A6" s="2" t="inlineStr">
        <is>
          <t>ENT</t>
        </is>
      </c>
      <c r="B6" s="5" t="n">
        <v>978</v>
      </c>
      <c r="C6" s="5" t="n">
        <v>897</v>
      </c>
      <c r="D6" s="5" t="n">
        <v>81</v>
      </c>
      <c r="E6" s="6">
        <f>C6/B6</f>
        <v/>
      </c>
      <c r="F6" s="2">
        <f>Day cases / eligible elective spells = C6/B6</f>
        <v/>
      </c>
    </row>
    <row r="7">
      <c r="A7" s="2" t="inlineStr">
        <is>
          <t>General Surgery</t>
        </is>
      </c>
      <c r="B7" s="5" t="n">
        <v>4728</v>
      </c>
      <c r="C7" s="5" t="n">
        <v>3900</v>
      </c>
      <c r="D7" s="5" t="n">
        <v>828</v>
      </c>
      <c r="E7" s="6">
        <f>C7/B7</f>
        <v/>
      </c>
      <c r="F7" s="2">
        <f>Day cases / eligible elective spells = C7/B7</f>
        <v/>
      </c>
    </row>
    <row r="8">
      <c r="A8" s="2" t="inlineStr">
        <is>
          <t>Gynaecology</t>
        </is>
      </c>
      <c r="B8" s="5" t="n">
        <v>1328</v>
      </c>
      <c r="C8" s="5" t="n">
        <v>800</v>
      </c>
      <c r="D8" s="5" t="n">
        <v>528</v>
      </c>
      <c r="E8" s="6">
        <f>C8/B8</f>
        <v/>
      </c>
      <c r="F8" s="2">
        <f>Day cases / eligible elective spells = C8/B8</f>
        <v/>
      </c>
    </row>
    <row r="9">
      <c r="A9" s="2" t="inlineStr">
        <is>
          <t>Ophthalmology</t>
        </is>
      </c>
      <c r="B9" s="5" t="n">
        <v>1454</v>
      </c>
      <c r="C9" s="5" t="n">
        <v>1447</v>
      </c>
      <c r="D9" s="5" t="n">
        <v>7</v>
      </c>
      <c r="E9" s="6">
        <f>C9/B9</f>
        <v/>
      </c>
      <c r="F9" s="2">
        <f>Day cases / eligible elective spells = C9/B9</f>
        <v/>
      </c>
    </row>
    <row r="10">
      <c r="A10" s="2" t="inlineStr">
        <is>
          <t>Oral Surgery</t>
        </is>
      </c>
      <c r="B10" s="5" t="n">
        <v>941</v>
      </c>
      <c r="C10" s="5" t="n">
        <v>898</v>
      </c>
      <c r="D10" s="5" t="n">
        <v>43</v>
      </c>
      <c r="E10" s="6">
        <f>C10/B10</f>
        <v/>
      </c>
      <c r="F10" s="2">
        <f>Day cases / eligible elective spells = C10/B10</f>
        <v/>
      </c>
    </row>
    <row r="11">
      <c r="A11" s="2" t="inlineStr">
        <is>
          <t>Trauma &amp; Orthopaedics</t>
        </is>
      </c>
      <c r="B11" s="5" t="n">
        <v>2156</v>
      </c>
      <c r="C11" s="5" t="n">
        <v>916</v>
      </c>
      <c r="D11" s="5" t="n">
        <v>1240</v>
      </c>
      <c r="E11" s="6">
        <f>C11/B11</f>
        <v/>
      </c>
      <c r="F11" s="2">
        <f>Day cases / eligible elective spells = C11/B11</f>
        <v/>
      </c>
    </row>
    <row r="12">
      <c r="A12" s="2" t="inlineStr">
        <is>
          <t>Urology</t>
        </is>
      </c>
      <c r="B12" s="5" t="n">
        <v>1889</v>
      </c>
      <c r="C12" s="5" t="n">
        <v>1180</v>
      </c>
      <c r="D12" s="5" t="n">
        <v>709</v>
      </c>
      <c r="E12" s="6">
        <f>C12/B12</f>
        <v/>
      </c>
      <c r="F12" s="2">
        <f>Day cases / eligible elective spells = C12/B12</f>
        <v/>
      </c>
    </row>
    <row r="13">
      <c r="A13" s="2" t="inlineStr">
        <is>
          <t>Vascular Surgery</t>
        </is>
      </c>
      <c r="B13" s="5" t="n">
        <v>227</v>
      </c>
      <c r="C13" s="5" t="n">
        <v>175</v>
      </c>
      <c r="D13" s="5" t="n">
        <v>52</v>
      </c>
      <c r="E13" s="6">
        <f>C13/B13</f>
        <v/>
      </c>
      <c r="F13" s="2">
        <f>Day cases / eligible elective spells = C13/B13</f>
        <v/>
      </c>
    </row>
    <row r="14">
      <c r="A14" s="2" t="n"/>
      <c r="B14" s="2" t="n"/>
      <c r="C14" s="2" t="n"/>
      <c r="D14" s="2" t="n"/>
      <c r="E14" s="2" t="n"/>
      <c r="F14" s="2" t="n"/>
    </row>
    <row r="15">
      <c r="A15" s="7" t="inlineStr">
        <is>
          <t>Surgical/HVLC total</t>
        </is>
      </c>
      <c r="B15" s="8">
        <f>SUM(B4:B13)</f>
        <v/>
      </c>
      <c r="C15" s="8">
        <f>SUM(C4:C13)</f>
        <v/>
      </c>
      <c r="D15" s="8">
        <f>SUM(D4:D13)</f>
        <v/>
      </c>
      <c r="E15" s="6">
        <f>C15/B15</f>
        <v/>
      </c>
      <c r="F15" s="2">
        <f>Total day cases / total eligible elective spells = C15/B15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2026-06-08T09:35:27Z</dcterms:created>
  <dcterms:modified xmlns:dcterms="http://purl.org/dc/terms/" xmlns:xsi="http://www.w3.org/2001/XMLSchema-instance" xsi:type="dcterms:W3CDTF">2026-06-08T09:35:27Z</dcterms:modified>
</cp:coreProperties>
</file>